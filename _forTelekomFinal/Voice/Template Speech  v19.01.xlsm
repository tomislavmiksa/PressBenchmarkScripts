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L:\Projekte\NC_DE_Pre-Benchmark_DT_2019\Tools_Software_PlugIns\DE Templates\"/>
    </mc:Choice>
  </mc:AlternateContent>
  <xr:revisionPtr revIDLastSave="0" documentId="13_ncr:1_{D40ED2EC-4015-40E0-869C-E4A5F471F9E4}" xr6:coauthVersionLast="36" xr6:coauthVersionMax="38" xr10:uidLastSave="{00000000-0000-0000-0000-000000000000}"/>
  <bookViews>
    <workbookView xWindow="-120" yWindow="-120" windowWidth="29040" windowHeight="15990" tabRatio="817" xr2:uid="{00000000-000D-0000-FFFF-FFFF00000000}"/>
  </bookViews>
  <sheets>
    <sheet name="MASTER" sheetId="17" r:id="rId1"/>
    <sheet name="KPI Definition" sheetId="4" r:id="rId2"/>
    <sheet name="RANKING" sheetId="5" state="hidden" r:id="rId3"/>
    <sheet name="Operator1" sheetId="6" r:id="rId4"/>
    <sheet name="Operator2" sheetId="7" r:id="rId5"/>
    <sheet name="Operator3" sheetId="8" r:id="rId6"/>
    <sheet name="Operator4" sheetId="9" r:id="rId7"/>
    <sheet name="Operator5" sheetId="10" r:id="rId8"/>
    <sheet name="Lists" sheetId="11" r:id="rId9"/>
    <sheet name="SetupEnviroment" sheetId="12" r:id="rId10"/>
  </sheets>
  <definedNames>
    <definedName name="_xlnm._FilterDatabase" localSheetId="3" hidden="1">Operator1!$A$1:$HN$2435</definedName>
    <definedName name="_xlnm._FilterDatabase" localSheetId="4" hidden="1">Operator2!$A$1:$HN$2481</definedName>
    <definedName name="_xlnm._FilterDatabase" localSheetId="5" hidden="1">Operator3!$A$1:$HN$2</definedName>
    <definedName name="_xlnm._FilterDatabase" localSheetId="6" hidden="1">Operator4!$A$1:$HN$2</definedName>
    <definedName name="_xlnm._FilterDatabase" localSheetId="7" hidden="1">Operator5!$A$1:$HN$2</definedName>
    <definedName name="aa" localSheetId="3" hidden="1">Operator1!$A$1:$HN$2</definedName>
    <definedName name="aaa" localSheetId="4" hidden="1">Operator2!$A$1:$HN$2</definedName>
    <definedName name="aaaa" localSheetId="5" hidden="1">Operator3!$A$1:$HN$2</definedName>
    <definedName name="aaaaaa" localSheetId="6" hidden="1">Operator4!$A$1:$HN$2</definedName>
    <definedName name="aaaaaaa" localSheetId="7" hidden="1">Operator5!$A$1:$HN$2</definedName>
    <definedName name="lists1">Lists!$G$2</definedName>
    <definedName name="lists10">Lists!$L$2</definedName>
    <definedName name="lists11">Lists!$M$2</definedName>
    <definedName name="lists12">Lists!$P$2</definedName>
    <definedName name="lists13">Lists!$R$2</definedName>
    <definedName name="lists14">Lists!$Q$2</definedName>
    <definedName name="lists15">Lists!$S$2</definedName>
    <definedName name="lists16">Lists!$T$2</definedName>
    <definedName name="lists17">Lists!$B$2</definedName>
    <definedName name="lists18">Lists!$C$2</definedName>
    <definedName name="lists19">Lists!$D$2</definedName>
    <definedName name="lists2">Lists!$H$2</definedName>
    <definedName name="lists20">Lists!$E$2</definedName>
    <definedName name="lists21">Lists!$F$2</definedName>
    <definedName name="lists22">Lists!$W$2</definedName>
    <definedName name="lists23">Lists!$X$2</definedName>
    <definedName name="lists24">Lists!$Y$2</definedName>
    <definedName name="lists25">Lists!$Z$2</definedName>
    <definedName name="lists26">Lists!$AA$2</definedName>
    <definedName name="lists27">Lists!$AB$2</definedName>
    <definedName name="lists28">Lists!$AC$2</definedName>
    <definedName name="lists3">Lists!$N$2</definedName>
    <definedName name="lists4">Lists!$O$2</definedName>
    <definedName name="lists5">Lists!$U$2</definedName>
    <definedName name="lists6">Lists!$V$2</definedName>
    <definedName name="lists7">Lists!$I$2</definedName>
    <definedName name="lists8">Lists!$K$2</definedName>
    <definedName name="lists9">Lists!$J$2</definedName>
    <definedName name="O1L1LQ">Operator1!$BF$2</definedName>
    <definedName name="O1L2LQ">Operator1!$BG$2</definedName>
    <definedName name="O1LQ">Operator1!$BE$2</definedName>
    <definedName name="O1ST">Operator1!$U$2</definedName>
    <definedName name="O2L1LQ">Operator2!$BF$2</definedName>
    <definedName name="O2L2LQ">Operator2!$BG$2</definedName>
    <definedName name="O2LQ">Operator2!$BE$2</definedName>
    <definedName name="O2ST">Operator2!$U$2</definedName>
    <definedName name="O3L1LQ">Operator3!$BF$2</definedName>
    <definedName name="O3L2LQ">Operator3!$BG$2</definedName>
    <definedName name="O3LQ">Operator3!$BE$2</definedName>
    <definedName name="O3ST">Operator3!$U$2</definedName>
    <definedName name="O4L1LQ">Operator4!$BF$2</definedName>
    <definedName name="O4L2LQ">Operator4!$BG$2</definedName>
    <definedName name="O4LQ">Operator4!$BE$2</definedName>
    <definedName name="O4ST">Operator4!$U$2</definedName>
    <definedName name="O5L1LQ">Operator5!$BF$2</definedName>
    <definedName name="O5L2LQ">Operator5!$BG$2</definedName>
    <definedName name="O5LQ">Operator5!$BE$2</definedName>
    <definedName name="O5ST">Operator5!$U$2</definedName>
    <definedName name="sO1L1LQ">Operator1!$BF$2</definedName>
    <definedName name="sO1L2LQ">Operator1!$BG$2</definedName>
    <definedName name="sO1LQ">Operator1!$BE$2</definedName>
    <definedName name="sO1ST">Operator1!$U$2</definedName>
    <definedName name="sO2L1LQ">Operator2!$BF$2</definedName>
    <definedName name="sO2L2LQ">Operator2!$BG$2</definedName>
    <definedName name="sO2LQ">Operator2!$BE$2</definedName>
    <definedName name="sO2ST">Operator2!$U$2</definedName>
    <definedName name="sO3L1LQ">Operator3!$BF$2</definedName>
    <definedName name="sO3L2LQ">Operator3!$BG$2</definedName>
    <definedName name="sO3LQ">Operator3!$BE$2</definedName>
    <definedName name="sO3ST">Operator3!$U$2</definedName>
    <definedName name="sO4L1LQ">Operator4!$BF$2</definedName>
    <definedName name="sO4L2LQ">Operator4!$BG$2</definedName>
    <definedName name="sO4LQ">Operator4!$BE$2</definedName>
    <definedName name="sO4ST">Operator4!$U$2</definedName>
    <definedName name="sO5L1LQ">Operator5!$BF$2</definedName>
    <definedName name="sO5L2LQ">Operator5!$BG$2</definedName>
    <definedName name="sO5LQ">Operator5!$BE$2</definedName>
    <definedName name="sO5ST">Operator5!$U$2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38" i="17" l="1" a="1"/>
  <c r="E38" i="17" s="1"/>
  <c r="D38" i="17" a="1"/>
  <c r="D38" i="17" s="1"/>
  <c r="C38" i="17" a="1"/>
  <c r="C38" i="17" s="1"/>
  <c r="E18" i="17" l="1" a="1"/>
  <c r="E18" i="17" s="1"/>
  <c r="D18" i="17" a="1"/>
  <c r="D18" i="17" s="1"/>
  <c r="C18" i="17" a="1"/>
  <c r="C18" i="17" s="1"/>
  <c r="C19" i="17" l="1" a="1"/>
  <c r="C19" i="17" s="1"/>
  <c r="D19" i="17" a="1"/>
  <c r="D19" i="17" s="1"/>
  <c r="E19" i="17" a="1"/>
  <c r="E19" i="17" s="1"/>
  <c r="E22" i="17" l="1" a="1"/>
  <c r="E22" i="17" s="1"/>
  <c r="D3" i="12"/>
  <c r="D4" i="12"/>
  <c r="D5" i="12"/>
  <c r="E46" i="17" l="1" a="1"/>
  <c r="E46" i="17" s="1"/>
  <c r="E45" i="17" a="1"/>
  <c r="E45" i="17" s="1"/>
  <c r="E44" i="17" a="1"/>
  <c r="E44" i="17" s="1"/>
  <c r="E43" i="17" a="1"/>
  <c r="E43" i="17" s="1"/>
  <c r="E42" i="17" a="1"/>
  <c r="E42" i="17" s="1"/>
  <c r="E41" i="17" a="1"/>
  <c r="E41" i="17" s="1"/>
  <c r="E40" i="17"/>
  <c r="E36" i="17" a="1"/>
  <c r="E36" i="17" s="1"/>
  <c r="E34" i="17" a="1"/>
  <c r="E34" i="17" s="1"/>
  <c r="E33" i="17" a="1"/>
  <c r="E33" i="17" s="1"/>
  <c r="E32" i="17" a="1"/>
  <c r="E32" i="17" s="1"/>
  <c r="E31" i="17" a="1"/>
  <c r="E31" i="17" s="1"/>
  <c r="E30" i="17" a="1"/>
  <c r="E30" i="17" s="1"/>
  <c r="E28" i="17" a="1"/>
  <c r="E28" i="17" s="1"/>
  <c r="E27" i="17" a="1"/>
  <c r="E27" i="17" s="1"/>
  <c r="E29" i="17" s="1"/>
  <c r="E26" i="17" a="1"/>
  <c r="E26" i="17" s="1"/>
  <c r="E25" i="17" a="1"/>
  <c r="E25" i="17" s="1"/>
  <c r="E24" i="17" a="1"/>
  <c r="E24" i="17" s="1"/>
  <c r="E23" i="17" a="1"/>
  <c r="E23" i="17" s="1"/>
  <c r="E21" i="17" a="1"/>
  <c r="E21" i="17" s="1"/>
  <c r="E35" i="17"/>
  <c r="D46" i="17" a="1"/>
  <c r="D46" i="17" s="1"/>
  <c r="D45" i="17" a="1"/>
  <c r="D45" i="17" s="1"/>
  <c r="D44" i="17" a="1"/>
  <c r="D44" i="17" s="1"/>
  <c r="D43" i="17" a="1"/>
  <c r="D43" i="17" s="1"/>
  <c r="D42" i="17" a="1"/>
  <c r="D42" i="17" s="1"/>
  <c r="D41" i="17" a="1"/>
  <c r="D41" i="17" s="1"/>
  <c r="D36" i="17" a="1"/>
  <c r="D36" i="17" s="1"/>
  <c r="D35" i="17" a="1"/>
  <c r="D35" i="17" s="1"/>
  <c r="D34" i="17" a="1"/>
  <c r="D34" i="17" s="1"/>
  <c r="D33" i="17" a="1"/>
  <c r="D33" i="17" s="1"/>
  <c r="D32" i="17" a="1"/>
  <c r="D32" i="17" s="1"/>
  <c r="D31" i="17" a="1"/>
  <c r="D31" i="17" s="1"/>
  <c r="D30" i="17" a="1"/>
  <c r="D30" i="17" s="1"/>
  <c r="D28" i="17" a="1"/>
  <c r="D28" i="17" s="1"/>
  <c r="D27" i="17" a="1"/>
  <c r="D27" i="17" s="1"/>
  <c r="D26" i="17" a="1"/>
  <c r="D26" i="17" s="1"/>
  <c r="D25" i="17" a="1"/>
  <c r="D25" i="17" s="1"/>
  <c r="D24" i="17" a="1"/>
  <c r="D24" i="17" s="1"/>
  <c r="D23" i="17" a="1"/>
  <c r="D23" i="17" s="1"/>
  <c r="D22" i="17" a="1"/>
  <c r="D22" i="17" s="1"/>
  <c r="D21" i="17" a="1"/>
  <c r="D21" i="17" s="1"/>
  <c r="C46" i="17" a="1"/>
  <c r="C46" i="17" s="1"/>
  <c r="C45" i="17" a="1"/>
  <c r="C45" i="17" s="1"/>
  <c r="C44" i="17" a="1"/>
  <c r="C44" i="17" s="1"/>
  <c r="C43" i="17" a="1"/>
  <c r="C43" i="17" s="1"/>
  <c r="C42" i="17" a="1"/>
  <c r="C42" i="17" s="1"/>
  <c r="C41" i="17" a="1"/>
  <c r="C41" i="17" s="1"/>
  <c r="C27" i="17" a="1"/>
  <c r="C27" i="17" s="1"/>
  <c r="C36" i="17" a="1"/>
  <c r="C36" i="17" s="1"/>
  <c r="C35" i="17" a="1"/>
  <c r="C35" i="17" s="1"/>
  <c r="C34" i="17" a="1"/>
  <c r="C34" i="17" s="1"/>
  <c r="C33" i="17" a="1"/>
  <c r="C33" i="17" s="1"/>
  <c r="C32" i="17" a="1"/>
  <c r="C32" i="17" s="1"/>
  <c r="C31" i="17" a="1"/>
  <c r="C31" i="17" s="1"/>
  <c r="C30" i="17" a="1"/>
  <c r="C30" i="17" s="1"/>
  <c r="C28" i="17" a="1"/>
  <c r="C28" i="17" s="1"/>
  <c r="C26" i="17" a="1"/>
  <c r="C26" i="17" s="1"/>
  <c r="C25" i="17" a="1"/>
  <c r="C25" i="17" s="1"/>
  <c r="C24" i="17" a="1"/>
  <c r="C24" i="17" s="1"/>
  <c r="C23" i="17" a="1"/>
  <c r="C23" i="17" s="1"/>
  <c r="C22" i="17" a="1"/>
  <c r="C22" i="17" s="1"/>
  <c r="C21" i="17" a="1"/>
  <c r="C21" i="17" s="1"/>
  <c r="D29" i="17" l="1"/>
  <c r="E20" i="17"/>
  <c r="E39" i="17" a="1"/>
  <c r="E39" i="17" s="1"/>
  <c r="D20" i="17"/>
  <c r="D39" i="17" a="1"/>
  <c r="D39" i="17" s="1"/>
  <c r="D40" i="17" s="1"/>
  <c r="C39" i="17" a="1"/>
  <c r="C39" i="17" s="1"/>
  <c r="C40" i="17" s="1"/>
  <c r="C29" i="17"/>
  <c r="C20" i="17"/>
  <c r="D6" i="5" l="1"/>
  <c r="L55" i="5" s="1"/>
  <c r="C6" i="5"/>
  <c r="C29" i="5" s="1"/>
  <c r="B6" i="5"/>
  <c r="J6" i="5" s="1"/>
  <c r="J29" i="5" s="1"/>
  <c r="D29" i="5" l="1"/>
  <c r="J55" i="5"/>
  <c r="B29" i="5"/>
  <c r="C55" i="5"/>
  <c r="D55" i="5"/>
  <c r="K55" i="5"/>
  <c r="B55" i="5"/>
  <c r="B6" i="12"/>
  <c r="D6" i="12" s="1"/>
  <c r="B7" i="12"/>
  <c r="D7" i="12" s="1"/>
  <c r="K6" i="5"/>
  <c r="K29" i="5" s="1"/>
  <c r="L6" i="5"/>
  <c r="L29" i="5" s="1"/>
  <c r="M6" i="5"/>
  <c r="N6" i="5"/>
  <c r="I7" i="5"/>
  <c r="J9" i="5"/>
  <c r="K9" i="5"/>
  <c r="L9" i="5"/>
  <c r="M9" i="5"/>
  <c r="N9" i="5"/>
  <c r="J10" i="5"/>
  <c r="K10" i="5"/>
  <c r="L10" i="5"/>
  <c r="M10" i="5"/>
  <c r="N10" i="5"/>
  <c r="J11" i="5"/>
  <c r="K11" i="5"/>
  <c r="L11" i="5"/>
  <c r="M11" i="5"/>
  <c r="N11" i="5"/>
  <c r="I12" i="5"/>
  <c r="J14" i="5"/>
  <c r="K14" i="5"/>
  <c r="L14" i="5"/>
  <c r="M14" i="5"/>
  <c r="N14" i="5"/>
  <c r="J15" i="5"/>
  <c r="K15" i="5"/>
  <c r="L15" i="5"/>
  <c r="M15" i="5"/>
  <c r="N15" i="5"/>
  <c r="J16" i="5"/>
  <c r="K16" i="5"/>
  <c r="L16" i="5"/>
  <c r="M16" i="5"/>
  <c r="N16" i="5"/>
  <c r="I17" i="5"/>
  <c r="J19" i="5"/>
  <c r="K19" i="5"/>
  <c r="L19" i="5"/>
  <c r="M19" i="5"/>
  <c r="N19" i="5"/>
  <c r="J20" i="5"/>
  <c r="K20" i="5"/>
  <c r="L20" i="5"/>
  <c r="M20" i="5"/>
  <c r="N20" i="5"/>
  <c r="J21" i="5"/>
  <c r="K21" i="5"/>
  <c r="L21" i="5"/>
  <c r="M21" i="5"/>
  <c r="N21" i="5"/>
  <c r="I22" i="5"/>
  <c r="J24" i="5"/>
  <c r="K24" i="5"/>
  <c r="L24" i="5"/>
  <c r="M24" i="5"/>
  <c r="N24" i="5"/>
  <c r="J25" i="5"/>
  <c r="K25" i="5"/>
  <c r="L25" i="5"/>
  <c r="M25" i="5"/>
  <c r="N25" i="5"/>
  <c r="J26" i="5"/>
  <c r="K26" i="5"/>
  <c r="L26" i="5"/>
  <c r="M26" i="5"/>
  <c r="N26" i="5"/>
  <c r="E29" i="5"/>
  <c r="M29" i="5" s="1"/>
  <c r="F29" i="5"/>
  <c r="N29" i="5" s="1"/>
  <c r="I30" i="5"/>
  <c r="J32" i="5"/>
  <c r="K32" i="5"/>
  <c r="L32" i="5"/>
  <c r="M32" i="5"/>
  <c r="N32" i="5"/>
  <c r="J33" i="5"/>
  <c r="K33" i="5"/>
  <c r="L33" i="5"/>
  <c r="M33" i="5"/>
  <c r="N33" i="5"/>
  <c r="J34" i="5"/>
  <c r="K34" i="5"/>
  <c r="L34" i="5"/>
  <c r="M34" i="5"/>
  <c r="N34" i="5"/>
  <c r="I35" i="5"/>
  <c r="J37" i="5"/>
  <c r="K37" i="5"/>
  <c r="L37" i="5"/>
  <c r="M37" i="5"/>
  <c r="N37" i="5"/>
  <c r="J38" i="5"/>
  <c r="K38" i="5"/>
  <c r="L38" i="5"/>
  <c r="M38" i="5"/>
  <c r="N38" i="5"/>
  <c r="J39" i="5"/>
  <c r="K39" i="5"/>
  <c r="L39" i="5"/>
  <c r="M39" i="5"/>
  <c r="N39" i="5"/>
  <c r="I40" i="5"/>
  <c r="J42" i="5"/>
  <c r="K42" i="5"/>
  <c r="L42" i="5"/>
  <c r="M42" i="5"/>
  <c r="N42" i="5"/>
  <c r="J43" i="5"/>
  <c r="K43" i="5"/>
  <c r="L43" i="5"/>
  <c r="M43" i="5"/>
  <c r="N43" i="5"/>
  <c r="J44" i="5"/>
  <c r="K44" i="5"/>
  <c r="L44" i="5"/>
  <c r="M44" i="5"/>
  <c r="N44" i="5"/>
  <c r="I45" i="5"/>
  <c r="J47" i="5"/>
  <c r="K47" i="5"/>
  <c r="L47" i="5"/>
  <c r="M47" i="5"/>
  <c r="N47" i="5"/>
  <c r="J48" i="5"/>
  <c r="K48" i="5"/>
  <c r="L48" i="5"/>
  <c r="M48" i="5"/>
  <c r="N48" i="5"/>
  <c r="J49" i="5"/>
  <c r="K49" i="5"/>
  <c r="L49" i="5"/>
  <c r="M49" i="5"/>
  <c r="N49" i="5"/>
  <c r="E55" i="5"/>
  <c r="M55" i="5" s="1"/>
  <c r="F55" i="5"/>
  <c r="N55" i="5" s="1"/>
  <c r="I56" i="5"/>
  <c r="J58" i="5"/>
  <c r="K58" i="5"/>
  <c r="L58" i="5"/>
  <c r="M58" i="5"/>
  <c r="N58" i="5"/>
  <c r="J59" i="5"/>
  <c r="K59" i="5"/>
  <c r="L59" i="5"/>
  <c r="M59" i="5"/>
  <c r="N59" i="5"/>
  <c r="J60" i="5"/>
  <c r="K60" i="5"/>
  <c r="L60" i="5"/>
  <c r="M60" i="5"/>
  <c r="N60" i="5"/>
  <c r="I61" i="5"/>
  <c r="J63" i="5"/>
  <c r="K63" i="5"/>
  <c r="L63" i="5"/>
  <c r="M63" i="5"/>
  <c r="N63" i="5"/>
  <c r="J64" i="5"/>
  <c r="K64" i="5"/>
  <c r="L64" i="5"/>
  <c r="M64" i="5"/>
  <c r="N64" i="5"/>
  <c r="J65" i="5"/>
  <c r="K65" i="5"/>
  <c r="L65" i="5"/>
  <c r="M65" i="5"/>
  <c r="N65" i="5"/>
  <c r="K17" i="5" l="1"/>
  <c r="K56" i="5"/>
  <c r="J61" i="5"/>
  <c r="L22" i="5"/>
  <c r="N17" i="5"/>
  <c r="J17" i="5"/>
  <c r="L17" i="5"/>
  <c r="N61" i="5"/>
  <c r="L56" i="5"/>
  <c r="M56" i="5"/>
  <c r="N56" i="5"/>
  <c r="J56" i="5"/>
  <c r="I53" i="5"/>
  <c r="K61" i="5"/>
  <c r="L61" i="5"/>
  <c r="M61" i="5"/>
  <c r="M17" i="5"/>
  <c r="M12" i="5"/>
  <c r="I4" i="5"/>
  <c r="I27" i="5"/>
  <c r="N30" i="5"/>
  <c r="J30" i="5"/>
  <c r="K30" i="5"/>
  <c r="K7" i="5"/>
  <c r="L45" i="5"/>
  <c r="M40" i="5"/>
  <c r="N35" i="5"/>
  <c r="J35" i="5"/>
  <c r="L30" i="5"/>
  <c r="M30" i="5"/>
  <c r="M45" i="5"/>
  <c r="N45" i="5"/>
  <c r="J45" i="5"/>
  <c r="K45" i="5"/>
  <c r="N40" i="5"/>
  <c r="J40" i="5"/>
  <c r="K40" i="5"/>
  <c r="L40" i="5"/>
  <c r="K35" i="5"/>
  <c r="L35" i="5"/>
  <c r="M35" i="5"/>
  <c r="M22" i="5"/>
  <c r="N22" i="5"/>
  <c r="J22" i="5"/>
  <c r="K22" i="5"/>
  <c r="K12" i="5"/>
  <c r="L12" i="5"/>
  <c r="N12" i="5"/>
  <c r="J12" i="5"/>
  <c r="L7" i="5"/>
  <c r="M7" i="5"/>
  <c r="N7" i="5"/>
  <c r="J7" i="5"/>
  <c r="K53" i="5" l="1"/>
  <c r="M53" i="5"/>
  <c r="N53" i="5"/>
  <c r="J53" i="5"/>
  <c r="L53" i="5"/>
  <c r="L4" i="5"/>
  <c r="J27" i="5"/>
  <c r="N27" i="5"/>
  <c r="K27" i="5"/>
  <c r="K4" i="5"/>
  <c r="M4" i="5"/>
  <c r="L27" i="5"/>
  <c r="M27" i="5"/>
  <c r="N4" i="5"/>
  <c r="J4" i="5"/>
</calcChain>
</file>

<file path=xl/sharedStrings.xml><?xml version="1.0" encoding="utf-8"?>
<sst xmlns="http://schemas.openxmlformats.org/spreadsheetml/2006/main" count="1517" uniqueCount="366">
  <si>
    <t>-</t>
  </si>
  <si>
    <t>Average MOS measured after POLQA speech Quality evaluation  in calls successfully completed in VoLTE.</t>
  </si>
  <si>
    <t>Downlink / Uplink</t>
  </si>
  <si>
    <t>[MOS]</t>
  </si>
  <si>
    <t>avgL2vMOS</t>
  </si>
  <si>
    <t>AVG MOS</t>
  </si>
  <si>
    <t xml:space="preserve">POLQA MOS  value bellow which 90% of measured samples in sorted array of MOS-s  in calls successfully started in VoLTE. Bellow 90 PCTL MOS value 90 % of measured MOS-s may be observed. </t>
  </si>
  <si>
    <t>90pL1vMOS</t>
  </si>
  <si>
    <t>MOS 90 PCTL</t>
  </si>
  <si>
    <t xml:space="preserve">POLQA MOS  value bellow which 50% of measured samples in sorted array of MOS-s  in calls successfully started in VoLTE. Bellow 50 PCTL MOS value 50 % of measured MOS-s may be observed. </t>
  </si>
  <si>
    <t>50pL1vMOS</t>
  </si>
  <si>
    <t>Median MOS</t>
  </si>
  <si>
    <t xml:space="preserve">POLQA MOS  value bellow which 10% of measured samples in sorted array of MOS-s  in calls successfully started in VoLTE. Bellow 10 PCTL MOS value 10 % of measured MOS-s may be observed. </t>
  </si>
  <si>
    <t>10pL1vMOS</t>
  </si>
  <si>
    <t>MOS 10 PCTL</t>
  </si>
  <si>
    <t>Maximum MOS measured after POLQA speech Quality evaluation  in calls successfully started in VoLTE.</t>
  </si>
  <si>
    <t>maxL1vMOS</t>
  </si>
  <si>
    <t>MAX MOS</t>
  </si>
  <si>
    <t>Average MOS measured after POLQA speech Quality evaluation  in calls successfully started in VoLTE.</t>
  </si>
  <si>
    <t>avgL1vMOS</t>
  </si>
  <si>
    <t>Lowest MOS measured after POLQA speech Quality evaluation  in calls successfully started in VoLTE.</t>
  </si>
  <si>
    <t>minL1vMOS</t>
  </si>
  <si>
    <t>MIN MOS</t>
  </si>
  <si>
    <t>MOS &lt;= 1.6 RATIO is a fraction of the POLQA test  in calls successfully started in VoLTE which resulted with measured MOS value bellow or equal 1.6 s in regard to all POLQA Tests  in calls successfully started in VoLTE. This fraction is usually measured as a percentage of all calls.</t>
  </si>
  <si>
    <t>[#]</t>
  </si>
  <si>
    <t>crL1vMOS</t>
  </si>
  <si>
    <t>MOS &lt;= 1.6 RATIO</t>
  </si>
  <si>
    <t>Number of POLQA Tests resulted with measured MOS value less or equal to 1.6  in calls successfully started in VoLTE .</t>
  </si>
  <si>
    <t>cpL1vMOS</t>
  </si>
  <si>
    <t>MOS &lt;= 1.6 COUNT</t>
  </si>
  <si>
    <t>Number of all valid POLQA Tests in calls successfully started in VoLTE. Absolute number of all POLQA speech quality tests  in calls successfully started in VoLTE.</t>
  </si>
  <si>
    <t>cL1vMOS</t>
  </si>
  <si>
    <t>POLQA Samples Count</t>
  </si>
  <si>
    <t xml:space="preserve">POLQA MOS  value bellow which 90% of measured samples in sorted array of MOS-s in successfully connected calls. Bellow 90 PCTL MOS value 90 % of measured MOS-s may be observed. </t>
  </si>
  <si>
    <t>90pMOS</t>
  </si>
  <si>
    <t xml:space="preserve">POLQA MOS  value bellow which 50% of measured samples in sorted array of MOS-s in successfully connected calls. Bellow 50 PCTL MOS value 50 % of measured MOS-s may be observed. </t>
  </si>
  <si>
    <t>50pMOS</t>
  </si>
  <si>
    <t xml:space="preserve">POLQA MOS  value bellow which 10% of measured samples in sorted array of MOS-s in successfully connected calls. Bellow 10 PCTL MOS value 10 % of measured MOS-s may be observed. </t>
  </si>
  <si>
    <t>10pMOS</t>
  </si>
  <si>
    <t>Maximum MOS measured after POLQA speech Quality evaluation.</t>
  </si>
  <si>
    <t>maxMOS</t>
  </si>
  <si>
    <t>Average MOS measured after POLQA speech Quality evaluation.</t>
  </si>
  <si>
    <t>avgMOS</t>
  </si>
  <si>
    <t>Lowest MOS measured after POLQA speech Quality evaluation.</t>
  </si>
  <si>
    <t>minMOS</t>
  </si>
  <si>
    <t>MOS &lt;= 1.6 RATIO is a fraction of the POLQA test which resulted with measured MOS value bellow or equal 1.6 s in regard to all POLQA Tests. This fraction is usually measured as a percentage of all calls.</t>
  </si>
  <si>
    <t>crMOS</t>
  </si>
  <si>
    <t>Number of POLQA Tests resulted with measured MOS value less or equal to 1.6 .</t>
  </si>
  <si>
    <t>cpMOS</t>
  </si>
  <si>
    <t>Number of all valid POLQA Tests. Absolute number of all POLQA speech quality tests.</t>
  </si>
  <si>
    <t>cMOS</t>
  </si>
  <si>
    <t>Stop Trigger Event</t>
  </si>
  <si>
    <t>Start Trigger Event</t>
  </si>
  <si>
    <t>Abstract Equation</t>
  </si>
  <si>
    <t>Definition</t>
  </si>
  <si>
    <t>Direction</t>
  </si>
  <si>
    <t>Unit</t>
  </si>
  <si>
    <t>Abbrev.</t>
  </si>
  <si>
    <t>KPI Name</t>
  </si>
  <si>
    <t>Call Success KPI-s</t>
  </si>
  <si>
    <t>D</t>
  </si>
  <si>
    <t>Defintion Key Performance Indicator</t>
  </si>
  <si>
    <t>90PCTL Speech Quality [POLQA MOS]</t>
  </si>
  <si>
    <t>Speech Quality POLQA - Bad Speech Ratio</t>
  </si>
  <si>
    <t>Speech Quality POLQA - Average MOS</t>
  </si>
  <si>
    <t>Samples Count</t>
  </si>
  <si>
    <t>WalkCity</t>
  </si>
  <si>
    <t>DriveCity</t>
  </si>
  <si>
    <t>MAX Ranking Points</t>
  </si>
  <si>
    <t>High Threshold</t>
  </si>
  <si>
    <t>Low Threshold</t>
  </si>
  <si>
    <t>RANKING POINTS</t>
  </si>
  <si>
    <t>Ranking Parameters</t>
  </si>
  <si>
    <t>Ranking KPI-s</t>
  </si>
  <si>
    <t>BEST Network In City (CITY = A54)</t>
  </si>
  <si>
    <t>WalkTrain</t>
  </si>
  <si>
    <t>DriveConnectingRoads</t>
  </si>
  <si>
    <t>BEST Network LTE</t>
  </si>
  <si>
    <t>Operator 5</t>
  </si>
  <si>
    <t>Operator 4</t>
  </si>
  <si>
    <t>BEST Network Overall</t>
  </si>
  <si>
    <t>Vendor</t>
  </si>
  <si>
    <t>Region</t>
  </si>
  <si>
    <t>Recording_Latitude</t>
  </si>
  <si>
    <t>Recording_Longitude</t>
  </si>
  <si>
    <t>Recording_Speed_kmh</t>
  </si>
  <si>
    <t>Recording_Handovers</t>
  </si>
  <si>
    <t>Recording_MaxTxPwr4G</t>
  </si>
  <si>
    <t>Recording_AvgTxPwr4G</t>
  </si>
  <si>
    <t>Recording_MinTxPwr4G</t>
  </si>
  <si>
    <t>Recording_MaxSINR</t>
  </si>
  <si>
    <t>Recording_AvgSINR</t>
  </si>
  <si>
    <t>Recording_MinSINR</t>
  </si>
  <si>
    <t>Recording_MaxRSRQ</t>
  </si>
  <si>
    <t>Recording_AvgRSRQ</t>
  </si>
  <si>
    <t>Recording_MinRSRQ</t>
  </si>
  <si>
    <t>Recording_MaxRSRP</t>
  </si>
  <si>
    <t>Recording_AvgRSRP</t>
  </si>
  <si>
    <t>Recording_MinRSRP</t>
  </si>
  <si>
    <t>Recording_MaxTxPwr3G</t>
  </si>
  <si>
    <t>Recording_AvgTxPwr3G</t>
  </si>
  <si>
    <t>Recording_MinTxPwr3G</t>
  </si>
  <si>
    <t>Recording_MaxEcIo</t>
  </si>
  <si>
    <t>Recording_AvgEcIo</t>
  </si>
  <si>
    <t>Recording_MinEcIo</t>
  </si>
  <si>
    <t>Recording_MaxRSCP</t>
  </si>
  <si>
    <t>Recording_AvgRSCP</t>
  </si>
  <si>
    <t>Recording_MinRSCP</t>
  </si>
  <si>
    <t>Recording_MaxRxQual</t>
  </si>
  <si>
    <t>Recording_AvgRxQual</t>
  </si>
  <si>
    <t>Recording_MinRxQual</t>
  </si>
  <si>
    <t>Recording_MaxRxLev</t>
  </si>
  <si>
    <t>Recording_AvgRxLev</t>
  </si>
  <si>
    <t>Recording_MinRxLev</t>
  </si>
  <si>
    <t>Recording_EVS_128_ms</t>
  </si>
  <si>
    <t>Recording_EVS_96_ms</t>
  </si>
  <si>
    <t>Recording_EVS_64_ms</t>
  </si>
  <si>
    <t>Recording_EVS_48_ms</t>
  </si>
  <si>
    <t>Recording_EVS_32_ms</t>
  </si>
  <si>
    <t>Recording_EVS_24.4_ms</t>
  </si>
  <si>
    <t>Recording_EVS_16.4_ms</t>
  </si>
  <si>
    <t>Recording_EVS_13.2_ms</t>
  </si>
  <si>
    <t>Recording_EVS_9.6_ms</t>
  </si>
  <si>
    <t>Recording_EVS_8_ms</t>
  </si>
  <si>
    <t>Recording_EVS_7.2_ms</t>
  </si>
  <si>
    <t>Recording_EVS_5.9_ms</t>
  </si>
  <si>
    <t>Recording_AMR_WB_23.85_ms</t>
  </si>
  <si>
    <t>Recording_AMR_WB_23.05_ms</t>
  </si>
  <si>
    <t>Recording_AMR_WB_19.85_ms</t>
  </si>
  <si>
    <t>Recording_AMR_WB_18.25_ms</t>
  </si>
  <si>
    <t>Recording_AMR_WB_15.85_ms</t>
  </si>
  <si>
    <t>Recording_AMR_WB_14.25_ms</t>
  </si>
  <si>
    <t>Recording_AMR_WB_12.65_ms</t>
  </si>
  <si>
    <t>Recording_AMR_WB_8.85_ms</t>
  </si>
  <si>
    <t>Recording_AMR_WB_6.6_ms</t>
  </si>
  <si>
    <t>Recording_AMR_NB_12.2_ms</t>
  </si>
  <si>
    <t>Recording_AMR_NB_10.2_ms</t>
  </si>
  <si>
    <t>Recording_AMR_NB_7.95_ms</t>
  </si>
  <si>
    <t>Recording_AMR_NB_7.4_ms</t>
  </si>
  <si>
    <t>Recording_AMR_NB_6.7_ms</t>
  </si>
  <si>
    <t>Recording_AMR_NB_5.9_ms</t>
  </si>
  <si>
    <t>Recording_AMR_NB_5.15_ms</t>
  </si>
  <si>
    <t>Recording_AMR_NB_4.75_ms</t>
  </si>
  <si>
    <t>Recording_AMR_NB_1.8_ms</t>
  </si>
  <si>
    <t>Recording_EVS_ms</t>
  </si>
  <si>
    <t>Recording_AMR_WB_ms</t>
  </si>
  <si>
    <t>Recording_AMR_NB_ms</t>
  </si>
  <si>
    <t>Recording Codec Detailed</t>
  </si>
  <si>
    <t>Recording Codec</t>
  </si>
  <si>
    <t>Recording Technology Detailed</t>
  </si>
  <si>
    <t>Recording Technology</t>
  </si>
  <si>
    <t>Playing_Latitude</t>
  </si>
  <si>
    <t>Playing_Longitude</t>
  </si>
  <si>
    <t>Playing_Speed_kmh</t>
  </si>
  <si>
    <t>Playing_Handovers</t>
  </si>
  <si>
    <t>Playing_MaxTxPwr4G</t>
  </si>
  <si>
    <t>Playing_AvgTxPwr4G</t>
  </si>
  <si>
    <t>Playing_MinTxPwr4G</t>
  </si>
  <si>
    <t>Playing_MaxSINR</t>
  </si>
  <si>
    <t>Playing_AvgSINR</t>
  </si>
  <si>
    <t>Playing_MinSINR</t>
  </si>
  <si>
    <t>Playing_MaxRSRQ</t>
  </si>
  <si>
    <t>Playing_AvgRSRQ</t>
  </si>
  <si>
    <t>Playing_MinRSRQ</t>
  </si>
  <si>
    <t>Playing_MaxRSRP</t>
  </si>
  <si>
    <t>Playing_AvgRSRP</t>
  </si>
  <si>
    <t>Playing_MinRSRP</t>
  </si>
  <si>
    <t>Playing_MaxTxPwr3G</t>
  </si>
  <si>
    <t>Playing_AvgTxPwr3G</t>
  </si>
  <si>
    <t>Playing_MinTxPwr3G</t>
  </si>
  <si>
    <t>Playing_MaxEcIo</t>
  </si>
  <si>
    <t>Playing_AvgEcIo</t>
  </si>
  <si>
    <t>Playing_MinEcIo</t>
  </si>
  <si>
    <t>Playing_MaxRSCP</t>
  </si>
  <si>
    <t>Playing_AvgRSCP</t>
  </si>
  <si>
    <t>Playing_MinRSCP</t>
  </si>
  <si>
    <t>Playing_MaxRxQual</t>
  </si>
  <si>
    <t>Playing_AvgRxQual</t>
  </si>
  <si>
    <t>Playing_MinRxQual</t>
  </si>
  <si>
    <t>Playing_MaxRxLev</t>
  </si>
  <si>
    <t>Playing_AvgRxLev</t>
  </si>
  <si>
    <t>Playing_MinRxLev</t>
  </si>
  <si>
    <t>Playing_EVS_128_ms</t>
  </si>
  <si>
    <t>Playing_EVS_96_ms</t>
  </si>
  <si>
    <t>Playing_EVS_64_ms</t>
  </si>
  <si>
    <t>Playing_EVS_48_ms</t>
  </si>
  <si>
    <t>Playing_EVS_32_ms</t>
  </si>
  <si>
    <t>Playing_EVS_24.4_ms</t>
  </si>
  <si>
    <t>Playing_EVS_16.4_ms</t>
  </si>
  <si>
    <t>Playing_EVS_13.2_ms</t>
  </si>
  <si>
    <t>Playing_EVS_9.6_ms</t>
  </si>
  <si>
    <t>Playing_EVS_8_ms</t>
  </si>
  <si>
    <t>Playing_EVS_7.2_ms</t>
  </si>
  <si>
    <t>Playing_EVS_5.9_ms</t>
  </si>
  <si>
    <t>Playing_AMR_WB_23.85_ms</t>
  </si>
  <si>
    <t>Playing_AMR_WB_23.05_ms</t>
  </si>
  <si>
    <t>Playing_AMR_WB_19.85_ms</t>
  </si>
  <si>
    <t>Playing_AMR_WB_18.25_ms</t>
  </si>
  <si>
    <t>Playing_AMR_WB_15.85_ms</t>
  </si>
  <si>
    <t>Playing_AMR_WB_14.25_ms</t>
  </si>
  <si>
    <t>Playing_AMR_WB_12.65_ms</t>
  </si>
  <si>
    <t>Playing_AMR_WB_8.85_ms</t>
  </si>
  <si>
    <t>Playing_AMR_WB_6.6_ms</t>
  </si>
  <si>
    <t>Playing_AMR_NB_12.2_ms</t>
  </si>
  <si>
    <t>Playing_AMR_NB_10.2_ms</t>
  </si>
  <si>
    <t>Playing_AMR_NB_7.95_ms</t>
  </si>
  <si>
    <t>Playing_AMR_NB_7.4_ms</t>
  </si>
  <si>
    <t>Playing_AMR_NB_6.7_ms</t>
  </si>
  <si>
    <t>Playing_AMR_NB_5.9_ms</t>
  </si>
  <si>
    <t>Playing_AMR_NB_5.15_ms</t>
  </si>
  <si>
    <t>Playing_AMR_NB_4.75_ms</t>
  </si>
  <si>
    <t>Playing_AMR_NB_1.8_ms</t>
  </si>
  <si>
    <t>Playing_EVS_ms</t>
  </si>
  <si>
    <t>Playing_AMR_WB_ms</t>
  </si>
  <si>
    <t>Playing_AMR_NB_ms</t>
  </si>
  <si>
    <t>Playing_Codec_Detailed</t>
  </si>
  <si>
    <t>Playing_Codec</t>
  </si>
  <si>
    <t>Playing_Technology_Detailed</t>
  </si>
  <si>
    <t>Playing_Technology</t>
  </si>
  <si>
    <t>Resampling</t>
  </si>
  <si>
    <t>BW</t>
  </si>
  <si>
    <t>WideBand</t>
  </si>
  <si>
    <t>ErrCode</t>
  </si>
  <si>
    <t>UpperFilterLimit</t>
  </si>
  <si>
    <t>LowerFilterLimit</t>
  </si>
  <si>
    <t>MissedVoice</t>
  </si>
  <si>
    <t>AmplClipping</t>
  </si>
  <si>
    <t>ReceiveDelay</t>
  </si>
  <si>
    <t>appl</t>
  </si>
  <si>
    <t>staticSNR</t>
  </si>
  <si>
    <t>noiseRcv</t>
  </si>
  <si>
    <t>activityRcvP56</t>
  </si>
  <si>
    <t>aSLrcvP56</t>
  </si>
  <si>
    <t>delayDeviation</t>
  </si>
  <si>
    <t>codedLevel</t>
  </si>
  <si>
    <t>delaySpread</t>
  </si>
  <si>
    <t>codedDcOffset</t>
  </si>
  <si>
    <t>refDCOffset</t>
  </si>
  <si>
    <t>negFreqShift</t>
  </si>
  <si>
    <t>posFreqShift</t>
  </si>
  <si>
    <t>timeClipping</t>
  </si>
  <si>
    <t>LQCat</t>
  </si>
  <si>
    <t>qualityCode</t>
  </si>
  <si>
    <t>L2_VoLTE_Call_Mode_LQ</t>
  </si>
  <si>
    <t>L1_VoLTE_Call_Mode_LQ</t>
  </si>
  <si>
    <t>LQ</t>
  </si>
  <si>
    <t>TestEnd</t>
  </si>
  <si>
    <t>TestStart</t>
  </si>
  <si>
    <t>SpeedAvg</t>
  </si>
  <si>
    <t>direction</t>
  </si>
  <si>
    <t>TestId</t>
  </si>
  <si>
    <t>MSISDN_B</t>
  </si>
  <si>
    <t>IMSI_B</t>
  </si>
  <si>
    <t>IMEI_B</t>
  </si>
  <si>
    <t>FW_B</t>
  </si>
  <si>
    <t>UE_B</t>
  </si>
  <si>
    <t>MSISDN_A</t>
  </si>
  <si>
    <t>IMSI_A</t>
  </si>
  <si>
    <t>IMEI_A</t>
  </si>
  <si>
    <t>FW_A</t>
  </si>
  <si>
    <t>UE_A</t>
  </si>
  <si>
    <t>WagonRepeter</t>
  </si>
  <si>
    <t>WagonNumber</t>
  </si>
  <si>
    <t>Fleet</t>
  </si>
  <si>
    <t>TrainType</t>
  </si>
  <si>
    <t>G_Level_5</t>
  </si>
  <si>
    <t>G_Level_4</t>
  </si>
  <si>
    <t>G_Level_3</t>
  </si>
  <si>
    <t>G_Level_2</t>
  </si>
  <si>
    <t>G_Level_1</t>
  </si>
  <si>
    <t>Hour</t>
  </si>
  <si>
    <t>Day</t>
  </si>
  <si>
    <t>Month</t>
  </si>
  <si>
    <t>Week</t>
  </si>
  <si>
    <t>Year</t>
  </si>
  <si>
    <t>L2_callMode_B</t>
  </si>
  <si>
    <t>L1_callMode_B</t>
  </si>
  <si>
    <t>L2_callMode_A</t>
  </si>
  <si>
    <t>L1_callMode_A</t>
  </si>
  <si>
    <t>DialedNumber</t>
  </si>
  <si>
    <t>Call_Direction</t>
  </si>
  <si>
    <t>Session_Type</t>
  </si>
  <si>
    <t>Operator</t>
  </si>
  <si>
    <t>Channel_Description_B</t>
  </si>
  <si>
    <t>Channel_B</t>
  </si>
  <si>
    <t>System_Software_B</t>
  </si>
  <si>
    <t>System_B</t>
  </si>
  <si>
    <t>Channel_Description_A</t>
  </si>
  <si>
    <t>Channel_A</t>
  </si>
  <si>
    <t>System_Software_A</t>
  </si>
  <si>
    <t>System_A</t>
  </si>
  <si>
    <t>Call_End_Time</t>
  </si>
  <si>
    <t>Call_Start_Time</t>
  </si>
  <si>
    <t>Call_Status</t>
  </si>
  <si>
    <t>Sequenz_ID_per_File_A</t>
  </si>
  <si>
    <t>SessionId_B</t>
  </si>
  <si>
    <t>SessionID_A</t>
  </si>
  <si>
    <t>FileId_B</t>
  </si>
  <si>
    <t>FileID_A</t>
  </si>
  <si>
    <t>File_Name_B</t>
  </si>
  <si>
    <t>File_Name_A</t>
  </si>
  <si>
    <t>Campaign</t>
  </si>
  <si>
    <t>All</t>
  </si>
  <si>
    <t>Vendor_A</t>
  </si>
  <si>
    <t>Region_A</t>
  </si>
  <si>
    <t>G_Level_5_A</t>
  </si>
  <si>
    <t>G_Level_4_A</t>
  </si>
  <si>
    <t>G_Level_3_A</t>
  </si>
  <si>
    <t>G_Level_2_A</t>
  </si>
  <si>
    <t>G_Level_1_A</t>
  </si>
  <si>
    <t>rnk</t>
  </si>
  <si>
    <t>Operator 3</t>
  </si>
  <si>
    <t>Operator 2</t>
  </si>
  <si>
    <t>Operator 1</t>
  </si>
  <si>
    <t>Font Color B</t>
  </si>
  <si>
    <t>Font Color G</t>
  </si>
  <si>
    <t>Font Color R</t>
  </si>
  <si>
    <t>Background Color B</t>
  </si>
  <si>
    <t>Background Color G</t>
  </si>
  <si>
    <t>Background Color R</t>
  </si>
  <si>
    <t>ColorPreview</t>
  </si>
  <si>
    <t>Visible</t>
  </si>
  <si>
    <t>Name</t>
  </si>
  <si>
    <t>Operators List</t>
  </si>
  <si>
    <t>Avg MOS (VoLTE to VoLTE L2)</t>
  </si>
  <si>
    <t>MOS 90 PCTL (VoLTE to VoLTE L1)</t>
  </si>
  <si>
    <t>Median MOS (VoLTE to VoLTE L1)</t>
  </si>
  <si>
    <t>MOS 10 PCTL (VoLTE to VoLTE L1)</t>
  </si>
  <si>
    <t>MAX MOS (VoLTE to VoLTE L1)</t>
  </si>
  <si>
    <t>Avg MOS (VoLTE to VoLTE L1)</t>
  </si>
  <si>
    <t>MIN MOS (VoLTE to VoLTE L1)</t>
  </si>
  <si>
    <t>POLQA Samples Count (VoLTE to VoLTE L1)</t>
  </si>
  <si>
    <t>POLQA 90 PCTL MOS</t>
  </si>
  <si>
    <t>POLQA Median MOS</t>
  </si>
  <si>
    <t>POLQA 10 PCTL MOS</t>
  </si>
  <si>
    <t>POLQA MAX MOS</t>
  </si>
  <si>
    <t>POLQA AVG MOS</t>
  </si>
  <si>
    <t>POLQA MIN MOS</t>
  </si>
  <si>
    <t>Key Performance Indicators</t>
  </si>
  <si>
    <t xml:space="preserve">IMSI_B   </t>
  </si>
  <si>
    <t xml:space="preserve">IMEI_B   </t>
  </si>
  <si>
    <t xml:space="preserve">UE_B     </t>
  </si>
  <si>
    <t xml:space="preserve">System_B </t>
  </si>
  <si>
    <t>Filtered</t>
  </si>
  <si>
    <t xml:space="preserve">IMSI_A   </t>
  </si>
  <si>
    <t xml:space="preserve">IMEI_A   </t>
  </si>
  <si>
    <t xml:space="preserve">UE_A     </t>
  </si>
  <si>
    <t xml:space="preserve">System_A </t>
  </si>
  <si>
    <t>Color Marker</t>
  </si>
  <si>
    <t>L2 Call Mode B</t>
  </si>
  <si>
    <t>L1 Call Mode B</t>
  </si>
  <si>
    <t>L2 Call Mode A</t>
  </si>
  <si>
    <t>L1 Call Mode A</t>
  </si>
  <si>
    <t>DIALED NUMBER</t>
  </si>
  <si>
    <t>CALL STATUS</t>
  </si>
  <si>
    <t>Vodafone</t>
  </si>
  <si>
    <t>Berlin</t>
  </si>
  <si>
    <t>MOS &lt;= 1.6 COUNT (VoLTE to VoLTE L1)</t>
  </si>
  <si>
    <t>MOS &lt;= 1.6 RATIO (VoLTE to VoLTE L1)</t>
  </si>
  <si>
    <t>Classic Call</t>
  </si>
  <si>
    <t>WhatsApp Call</t>
  </si>
  <si>
    <t>Operator1</t>
  </si>
  <si>
    <t>Operator2</t>
  </si>
  <si>
    <t>Operator3</t>
  </si>
  <si>
    <t>Telekom</t>
  </si>
  <si>
    <t>Telefonica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</si>
</sst>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00%"/>
    <numFmt numFmtId="166" formatCode="dd/mm/yyyy\ hh:mm:ss.000"/>
    <numFmt numFmtId="167" formatCode="0.0"/>
    <numFmt numFmtId="168" formatCode="0.00&quot; [MOS]&quot;"/>
    <numFmt numFmtId="169" formatCode="0.000\ %"/>
    <numFmt numFmtId="170" formatCode="0.000&quot; [MOS]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40"/>
      <color theme="0"/>
      <name val="Calibri"/>
      <family val="2"/>
    </font>
    <font>
      <sz val="1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i/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color theme="4" tint="-0.249977111117893"/>
      <name val="Calibri"/>
      <family val="2"/>
      <scheme val="minor"/>
    </font>
    <font>
      <b/>
      <sz val="18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0"/>
      <name val="Trebuchet MS"/>
      <family val="2"/>
    </font>
    <font>
      <b/>
      <sz val="20"/>
      <color rgb="FFFF0000"/>
      <name val="Trebuchet MS"/>
      <family val="2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rgb="FF000000"/>
      <name val="Trebuchet MS"/>
      <family val="2"/>
    </font>
    <font>
      <b/>
      <sz val="14"/>
      <color theme="0"/>
      <name val="Trebuchet MS"/>
      <family val="2"/>
    </font>
    <font>
      <b/>
      <sz val="16"/>
      <color rgb="FF000000"/>
      <name val="Trebuchet MS"/>
      <family val="2"/>
    </font>
    <font>
      <b/>
      <sz val="16"/>
      <color theme="0"/>
      <name val="Trebuchet MS"/>
      <family val="2"/>
    </font>
    <font>
      <b/>
      <sz val="20"/>
      <color rgb="FFFFFFFF"/>
      <name val="Trebuchet MS"/>
      <family val="2"/>
    </font>
    <font>
      <b/>
      <sz val="16"/>
      <color theme="3" tint="0.39997558519241921"/>
      <name val="Verdana"/>
      <family val="2"/>
    </font>
    <font>
      <b/>
      <sz val="16"/>
      <color rgb="FFFFFFFF"/>
      <name val="Trebuchet MS"/>
      <family val="2"/>
    </font>
    <font>
      <b/>
      <sz val="10"/>
      <color rgb="FF000000"/>
      <name val="Trebuchet MS"/>
      <family val="2"/>
    </font>
    <font>
      <b/>
      <sz val="14"/>
      <color rgb="FF000000"/>
      <name val="Trebuchet MS"/>
      <family val="2"/>
    </font>
    <font>
      <b/>
      <sz val="14"/>
      <color theme="5" tint="0.59999389629810485"/>
      <name val="Trebuchet MS"/>
      <family val="2"/>
    </font>
    <font>
      <b/>
      <sz val="10"/>
      <color theme="5" tint="0.59999389629810485"/>
      <name val="Trebuchet MS"/>
      <family val="2"/>
    </font>
    <font>
      <b/>
      <sz val="14"/>
      <color theme="6" tint="0.59999389629810485"/>
      <name val="Trebuchet MS"/>
      <family val="2"/>
    </font>
    <font>
      <b/>
      <sz val="10"/>
      <color theme="6" tint="0.59999389629810485"/>
      <name val="Trebuchet MS"/>
      <family val="2"/>
    </font>
    <font>
      <b/>
      <sz val="11"/>
      <color theme="1"/>
      <name val="Calibri"/>
      <family val="2"/>
      <scheme val="minor"/>
    </font>
    <font>
      <b/>
      <sz val="18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1F4B7D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2D69A"/>
        <bgColor indexed="64"/>
      </patternFill>
    </fill>
    <fill>
      <patternFill patternType="solid">
        <fgColor rgb="FFE6B9B8"/>
        <bgColor indexed="64"/>
      </patternFill>
    </fill>
    <fill>
      <patternFill patternType="darkTrellis">
        <bgColor rgb="FF1F4B7D"/>
      </patternFill>
    </fill>
    <fill>
      <patternFill patternType="solid">
        <fgColor rgb="FF93CDDD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36609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5091"/>
        <bgColor indexed="64"/>
      </patternFill>
    </fill>
    <fill>
      <patternFill patternType="darkTrellis">
        <bgColor rgb="FF366092"/>
      </patternFill>
    </fill>
    <fill>
      <patternFill patternType="solid">
        <fgColor rgb="FFDA291C"/>
        <bgColor indexed="64"/>
      </patternFill>
    </fill>
    <fill>
      <patternFill patternType="solid">
        <fgColor rgb="FFE20074"/>
        <bgColor indexed="64"/>
      </patternFill>
    </fill>
    <fill>
      <patternFill patternType="solid">
        <fgColor rgb="FF014268"/>
        <bgColor indexed="64"/>
      </patternFill>
    </fill>
  </fills>
  <borders count="6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3F3F3F"/>
      </left>
      <right style="medium">
        <color indexed="64"/>
      </right>
      <top/>
      <bottom/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medium">
        <color indexed="64"/>
      </left>
      <right style="thin">
        <color rgb="FF3F3F3F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</cellStyleXfs>
  <cellXfs count="401">
    <xf numFmtId="0" fontId="0" fillId="0" borderId="0" xfId="0"/>
    <xf numFmtId="0" fontId="0" fillId="0" borderId="0" xfId="0" applyAlignment="1">
      <alignment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4" xfId="0" quotePrefix="1" applyFont="1" applyBorder="1" applyAlignment="1">
      <alignment horizontal="center" vertical="center"/>
    </xf>
    <xf numFmtId="0" fontId="5" fillId="0" borderId="4" xfId="0" applyFont="1" applyBorder="1" applyAlignment="1">
      <alignment horizontal="left" vertical="center" wrapText="1"/>
    </xf>
    <xf numFmtId="0" fontId="5" fillId="4" borderId="4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/>
    </xf>
    <xf numFmtId="0" fontId="6" fillId="5" borderId="5" xfId="0" applyFont="1" applyFill="1" applyBorder="1" applyAlignment="1">
      <alignment horizontal="left" vertical="center"/>
    </xf>
    <xf numFmtId="0" fontId="5" fillId="0" borderId="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7" xfId="0" quotePrefix="1" applyFont="1" applyBorder="1" applyAlignment="1">
      <alignment horizontal="center" vertical="center"/>
    </xf>
    <xf numFmtId="0" fontId="5" fillId="0" borderId="8" xfId="0" applyFont="1" applyBorder="1" applyAlignment="1">
      <alignment horizontal="left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6" fillId="5" borderId="9" xfId="0" applyFont="1" applyFill="1" applyBorder="1" applyAlignment="1">
      <alignment horizontal="left" vertical="center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1" xfId="0" quotePrefix="1" applyFont="1" applyBorder="1" applyAlignment="1">
      <alignment horizontal="center" vertical="center"/>
    </xf>
    <xf numFmtId="0" fontId="5" fillId="0" borderId="12" xfId="0" applyFont="1" applyBorder="1" applyAlignment="1">
      <alignment horizontal="left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5" borderId="14" xfId="0" applyFont="1" applyFill="1" applyBorder="1" applyAlignment="1">
      <alignment horizontal="left" vertical="center"/>
    </xf>
    <xf numFmtId="0" fontId="5" fillId="0" borderId="11" xfId="0" applyFont="1" applyBorder="1" applyAlignment="1">
      <alignment horizontal="left" vertical="center" wrapText="1"/>
    </xf>
    <xf numFmtId="0" fontId="6" fillId="5" borderId="15" xfId="0" applyFont="1" applyFill="1" applyBorder="1" applyAlignment="1">
      <alignment horizontal="left" vertical="center"/>
    </xf>
    <xf numFmtId="0" fontId="5" fillId="0" borderId="16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7" xfId="0" quotePrefix="1" applyFont="1" applyBorder="1" applyAlignment="1">
      <alignment horizontal="center" vertical="center"/>
    </xf>
    <xf numFmtId="0" fontId="5" fillId="0" borderId="17" xfId="0" applyFont="1" applyBorder="1" applyAlignment="1">
      <alignment horizontal="left" vertical="center" wrapText="1"/>
    </xf>
    <xf numFmtId="0" fontId="5" fillId="4" borderId="17" xfId="0" applyFont="1" applyFill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/>
    </xf>
    <xf numFmtId="0" fontId="6" fillId="5" borderId="18" xfId="0" applyFont="1" applyFill="1" applyBorder="1" applyAlignment="1">
      <alignment horizontal="left" vertical="center"/>
    </xf>
    <xf numFmtId="0" fontId="0" fillId="0" borderId="0" xfId="0" applyBorder="1"/>
    <xf numFmtId="0" fontId="0" fillId="0" borderId="19" xfId="0" applyBorder="1"/>
    <xf numFmtId="0" fontId="0" fillId="0" borderId="0" xfId="0" applyFill="1"/>
    <xf numFmtId="0" fontId="0" fillId="0" borderId="0" xfId="0" applyFill="1" applyBorder="1"/>
    <xf numFmtId="0" fontId="7" fillId="4" borderId="20" xfId="0" applyFont="1" applyFill="1" applyBorder="1" applyAlignment="1">
      <alignment horizontal="center" vertical="center" wrapText="1"/>
    </xf>
    <xf numFmtId="0" fontId="7" fillId="4" borderId="0" xfId="0" applyFont="1" applyFill="1" applyBorder="1" applyAlignment="1">
      <alignment horizontal="center" vertical="center" wrapText="1"/>
    </xf>
    <xf numFmtId="0" fontId="7" fillId="4" borderId="0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0" fillId="0" borderId="19" xfId="0" applyFont="1" applyFill="1" applyBorder="1"/>
    <xf numFmtId="0" fontId="0" fillId="0" borderId="0" xfId="0" applyBorder="1" applyAlignment="1">
      <alignment wrapText="1"/>
    </xf>
    <xf numFmtId="0" fontId="4" fillId="4" borderId="19" xfId="0" applyFont="1" applyFill="1" applyBorder="1"/>
    <xf numFmtId="0" fontId="10" fillId="0" borderId="0" xfId="0" applyFont="1"/>
    <xf numFmtId="0" fontId="0" fillId="0" borderId="0" xfId="0" applyAlignment="1">
      <alignment horizontal="center"/>
    </xf>
    <xf numFmtId="164" fontId="11" fillId="8" borderId="24" xfId="0" applyNumberFormat="1" applyFont="1" applyFill="1" applyBorder="1" applyAlignment="1">
      <alignment horizontal="center"/>
    </xf>
    <xf numFmtId="164" fontId="11" fillId="8" borderId="25" xfId="0" applyNumberFormat="1" applyFont="1" applyFill="1" applyBorder="1" applyAlignment="1">
      <alignment horizontal="center"/>
    </xf>
    <xf numFmtId="164" fontId="11" fillId="8" borderId="26" xfId="0" applyNumberFormat="1" applyFont="1" applyFill="1" applyBorder="1" applyAlignment="1">
      <alignment horizontal="center"/>
    </xf>
    <xf numFmtId="164" fontId="12" fillId="8" borderId="27" xfId="0" applyNumberFormat="1" applyFont="1" applyFill="1" applyBorder="1" applyAlignment="1">
      <alignment horizontal="center"/>
    </xf>
    <xf numFmtId="2" fontId="13" fillId="8" borderId="25" xfId="0" applyNumberFormat="1" applyFont="1" applyFill="1" applyBorder="1" applyAlignment="1">
      <alignment horizontal="center"/>
    </xf>
    <xf numFmtId="2" fontId="13" fillId="8" borderId="28" xfId="0" applyNumberFormat="1" applyFont="1" applyFill="1" applyBorder="1" applyAlignment="1">
      <alignment horizontal="center"/>
    </xf>
    <xf numFmtId="2" fontId="10" fillId="8" borderId="24" xfId="0" applyNumberFormat="1" applyFont="1" applyFill="1" applyBorder="1" applyAlignment="1">
      <alignment horizontal="center"/>
    </xf>
    <xf numFmtId="2" fontId="10" fillId="8" borderId="25" xfId="0" applyNumberFormat="1" applyFont="1" applyFill="1" applyBorder="1" applyAlignment="1">
      <alignment horizontal="center"/>
    </xf>
    <xf numFmtId="2" fontId="10" fillId="8" borderId="26" xfId="0" applyNumberFormat="1" applyFont="1" applyFill="1" applyBorder="1" applyAlignment="1">
      <alignment horizontal="center"/>
    </xf>
    <xf numFmtId="0" fontId="10" fillId="8" borderId="9" xfId="0" applyFont="1" applyFill="1" applyBorder="1"/>
    <xf numFmtId="164" fontId="11" fillId="8" borderId="29" xfId="0" applyNumberFormat="1" applyFont="1" applyFill="1" applyBorder="1" applyAlignment="1">
      <alignment horizontal="center"/>
    </xf>
    <xf numFmtId="164" fontId="11" fillId="8" borderId="30" xfId="0" applyNumberFormat="1" applyFont="1" applyFill="1" applyBorder="1" applyAlignment="1">
      <alignment horizontal="center"/>
    </xf>
    <xf numFmtId="164" fontId="11" fillId="8" borderId="31" xfId="0" applyNumberFormat="1" applyFont="1" applyFill="1" applyBorder="1" applyAlignment="1">
      <alignment horizontal="center"/>
    </xf>
    <xf numFmtId="164" fontId="12" fillId="8" borderId="32" xfId="0" applyNumberFormat="1" applyFont="1" applyFill="1" applyBorder="1" applyAlignment="1">
      <alignment horizontal="center"/>
    </xf>
    <xf numFmtId="165" fontId="13" fillId="8" borderId="30" xfId="0" applyNumberFormat="1" applyFont="1" applyFill="1" applyBorder="1" applyAlignment="1">
      <alignment horizontal="center"/>
    </xf>
    <xf numFmtId="165" fontId="13" fillId="8" borderId="33" xfId="0" applyNumberFormat="1" applyFont="1" applyFill="1" applyBorder="1" applyAlignment="1">
      <alignment horizontal="center"/>
    </xf>
    <xf numFmtId="10" fontId="10" fillId="8" borderId="29" xfId="0" applyNumberFormat="1" applyFont="1" applyFill="1" applyBorder="1" applyAlignment="1">
      <alignment horizontal="center"/>
    </xf>
    <xf numFmtId="10" fontId="10" fillId="8" borderId="30" xfId="0" applyNumberFormat="1" applyFont="1" applyFill="1" applyBorder="1" applyAlignment="1">
      <alignment horizontal="center"/>
    </xf>
    <xf numFmtId="10" fontId="10" fillId="8" borderId="31" xfId="0" applyNumberFormat="1" applyFont="1" applyFill="1" applyBorder="1" applyAlignment="1">
      <alignment horizontal="center"/>
    </xf>
    <xf numFmtId="0" fontId="10" fillId="8" borderId="15" xfId="0" applyFont="1" applyFill="1" applyBorder="1"/>
    <xf numFmtId="164" fontId="11" fillId="8" borderId="34" xfId="0" applyNumberFormat="1" applyFont="1" applyFill="1" applyBorder="1" applyAlignment="1">
      <alignment horizontal="center"/>
    </xf>
    <xf numFmtId="164" fontId="11" fillId="8" borderId="35" xfId="0" applyNumberFormat="1" applyFont="1" applyFill="1" applyBorder="1" applyAlignment="1">
      <alignment horizontal="center"/>
    </xf>
    <xf numFmtId="164" fontId="11" fillId="8" borderId="36" xfId="0" applyNumberFormat="1" applyFont="1" applyFill="1" applyBorder="1" applyAlignment="1">
      <alignment horizontal="center"/>
    </xf>
    <xf numFmtId="164" fontId="12" fillId="8" borderId="37" xfId="0" applyNumberFormat="1" applyFont="1" applyFill="1" applyBorder="1" applyAlignment="1">
      <alignment horizontal="center"/>
    </xf>
    <xf numFmtId="2" fontId="13" fillId="8" borderId="35" xfId="0" applyNumberFormat="1" applyFont="1" applyFill="1" applyBorder="1" applyAlignment="1">
      <alignment horizontal="center"/>
    </xf>
    <xf numFmtId="2" fontId="13" fillId="8" borderId="38" xfId="0" applyNumberFormat="1" applyFont="1" applyFill="1" applyBorder="1" applyAlignment="1">
      <alignment horizontal="center"/>
    </xf>
    <xf numFmtId="2" fontId="10" fillId="8" borderId="34" xfId="0" applyNumberFormat="1" applyFont="1" applyFill="1" applyBorder="1" applyAlignment="1">
      <alignment horizontal="center"/>
    </xf>
    <xf numFmtId="2" fontId="10" fillId="8" borderId="35" xfId="0" applyNumberFormat="1" applyFont="1" applyFill="1" applyBorder="1" applyAlignment="1">
      <alignment horizontal="center"/>
    </xf>
    <xf numFmtId="2" fontId="10" fillId="8" borderId="36" xfId="0" applyNumberFormat="1" applyFont="1" applyFill="1" applyBorder="1" applyAlignment="1">
      <alignment horizontal="center"/>
    </xf>
    <xf numFmtId="0" fontId="10" fillId="8" borderId="39" xfId="0" applyFont="1" applyFill="1" applyBorder="1"/>
    <xf numFmtId="0" fontId="10" fillId="8" borderId="4" xfId="0" applyFont="1" applyFill="1" applyBorder="1" applyAlignment="1">
      <alignment horizontal="center"/>
    </xf>
    <xf numFmtId="0" fontId="10" fillId="8" borderId="41" xfId="0" applyFont="1" applyFill="1" applyBorder="1" applyAlignment="1">
      <alignment horizontal="center"/>
    </xf>
    <xf numFmtId="0" fontId="10" fillId="8" borderId="42" xfId="0" applyFont="1" applyFill="1" applyBorder="1" applyAlignment="1">
      <alignment horizontal="center"/>
    </xf>
    <xf numFmtId="0" fontId="10" fillId="8" borderId="43" xfId="0" applyFont="1" applyFill="1" applyBorder="1" applyAlignment="1">
      <alignment horizontal="center"/>
    </xf>
    <xf numFmtId="0" fontId="10" fillId="8" borderId="5" xfId="0" applyFont="1" applyFill="1" applyBorder="1"/>
    <xf numFmtId="0" fontId="10" fillId="8" borderId="4" xfId="0" applyFont="1" applyFill="1" applyBorder="1" applyAlignment="1"/>
    <xf numFmtId="164" fontId="11" fillId="9" borderId="48" xfId="0" applyNumberFormat="1" applyFont="1" applyFill="1" applyBorder="1" applyAlignment="1">
      <alignment horizontal="center"/>
    </xf>
    <xf numFmtId="164" fontId="11" fillId="9" borderId="49" xfId="0" applyNumberFormat="1" applyFont="1" applyFill="1" applyBorder="1" applyAlignment="1">
      <alignment horizontal="center"/>
    </xf>
    <xf numFmtId="164" fontId="11" fillId="9" borderId="50" xfId="0" applyNumberFormat="1" applyFont="1" applyFill="1" applyBorder="1" applyAlignment="1">
      <alignment horizontal="center"/>
    </xf>
    <xf numFmtId="164" fontId="11" fillId="9" borderId="51" xfId="0" applyNumberFormat="1" applyFont="1" applyFill="1" applyBorder="1" applyAlignment="1">
      <alignment horizontal="center"/>
    </xf>
    <xf numFmtId="164" fontId="12" fillId="9" borderId="32" xfId="0" applyNumberFormat="1" applyFont="1" applyFill="1" applyBorder="1" applyAlignment="1">
      <alignment horizontal="center"/>
    </xf>
    <xf numFmtId="2" fontId="13" fillId="9" borderId="30" xfId="0" applyNumberFormat="1" applyFont="1" applyFill="1" applyBorder="1" applyAlignment="1">
      <alignment horizontal="center"/>
    </xf>
    <xf numFmtId="2" fontId="13" fillId="9" borderId="31" xfId="0" applyNumberFormat="1" applyFont="1" applyFill="1" applyBorder="1" applyAlignment="1">
      <alignment horizontal="center"/>
    </xf>
    <xf numFmtId="2" fontId="10" fillId="9" borderId="30" xfId="0" applyNumberFormat="1" applyFont="1" applyFill="1" applyBorder="1" applyAlignment="1">
      <alignment horizontal="center"/>
    </xf>
    <xf numFmtId="2" fontId="10" fillId="9" borderId="32" xfId="0" applyNumberFormat="1" applyFont="1" applyFill="1" applyBorder="1" applyAlignment="1">
      <alignment horizontal="center"/>
    </xf>
    <xf numFmtId="2" fontId="10" fillId="9" borderId="31" xfId="0" applyNumberFormat="1" applyFont="1" applyFill="1" applyBorder="1" applyAlignment="1">
      <alignment horizontal="center"/>
    </xf>
    <xf numFmtId="0" fontId="10" fillId="9" borderId="15" xfId="0" applyFont="1" applyFill="1" applyBorder="1"/>
    <xf numFmtId="164" fontId="11" fillId="9" borderId="29" xfId="0" applyNumberFormat="1" applyFont="1" applyFill="1" applyBorder="1" applyAlignment="1">
      <alignment horizontal="center"/>
    </xf>
    <xf numFmtId="164" fontId="11" fillId="9" borderId="30" xfId="0" applyNumberFormat="1" applyFont="1" applyFill="1" applyBorder="1" applyAlignment="1">
      <alignment horizontal="center"/>
    </xf>
    <xf numFmtId="164" fontId="11" fillId="9" borderId="35" xfId="0" applyNumberFormat="1" applyFont="1" applyFill="1" applyBorder="1" applyAlignment="1">
      <alignment horizontal="center"/>
    </xf>
    <xf numFmtId="164" fontId="11" fillId="9" borderId="36" xfId="0" applyNumberFormat="1" applyFont="1" applyFill="1" applyBorder="1" applyAlignment="1">
      <alignment horizontal="center"/>
    </xf>
    <xf numFmtId="165" fontId="13" fillId="9" borderId="30" xfId="0" applyNumberFormat="1" applyFont="1" applyFill="1" applyBorder="1" applyAlignment="1">
      <alignment horizontal="center"/>
    </xf>
    <xf numFmtId="165" fontId="13" fillId="9" borderId="31" xfId="0" applyNumberFormat="1" applyFont="1" applyFill="1" applyBorder="1" applyAlignment="1">
      <alignment horizontal="center"/>
    </xf>
    <xf numFmtId="10" fontId="10" fillId="9" borderId="30" xfId="0" applyNumberFormat="1" applyFont="1" applyFill="1" applyBorder="1" applyAlignment="1">
      <alignment horizontal="center"/>
    </xf>
    <xf numFmtId="10" fontId="10" fillId="9" borderId="31" xfId="0" applyNumberFormat="1" applyFont="1" applyFill="1" applyBorder="1" applyAlignment="1">
      <alignment horizontal="center"/>
    </xf>
    <xf numFmtId="164" fontId="11" fillId="9" borderId="34" xfId="0" applyNumberFormat="1" applyFont="1" applyFill="1" applyBorder="1" applyAlignment="1">
      <alignment horizontal="center"/>
    </xf>
    <xf numFmtId="164" fontId="12" fillId="9" borderId="37" xfId="0" applyNumberFormat="1" applyFont="1" applyFill="1" applyBorder="1" applyAlignment="1">
      <alignment horizontal="center"/>
    </xf>
    <xf numFmtId="2" fontId="13" fillId="9" borderId="35" xfId="0" applyNumberFormat="1" applyFont="1" applyFill="1" applyBorder="1" applyAlignment="1">
      <alignment horizontal="center"/>
    </xf>
    <xf numFmtId="2" fontId="13" fillId="9" borderId="36" xfId="0" applyNumberFormat="1" applyFont="1" applyFill="1" applyBorder="1" applyAlignment="1">
      <alignment horizontal="center"/>
    </xf>
    <xf numFmtId="2" fontId="10" fillId="9" borderId="35" xfId="0" applyNumberFormat="1" applyFont="1" applyFill="1" applyBorder="1" applyAlignment="1">
      <alignment horizontal="center"/>
    </xf>
    <xf numFmtId="2" fontId="10" fillId="9" borderId="37" xfId="0" applyNumberFormat="1" applyFont="1" applyFill="1" applyBorder="1" applyAlignment="1">
      <alignment horizontal="center"/>
    </xf>
    <xf numFmtId="2" fontId="10" fillId="9" borderId="36" xfId="0" applyNumberFormat="1" applyFont="1" applyFill="1" applyBorder="1" applyAlignment="1">
      <alignment horizontal="center"/>
    </xf>
    <xf numFmtId="0" fontId="10" fillId="9" borderId="39" xfId="0" applyFont="1" applyFill="1" applyBorder="1"/>
    <xf numFmtId="0" fontId="10" fillId="9" borderId="4" xfId="0" applyFont="1" applyFill="1" applyBorder="1" applyAlignment="1">
      <alignment horizontal="center"/>
    </xf>
    <xf numFmtId="0" fontId="10" fillId="9" borderId="5" xfId="0" applyFont="1" applyFill="1" applyBorder="1" applyAlignment="1">
      <alignment horizontal="center"/>
    </xf>
    <xf numFmtId="0" fontId="10" fillId="9" borderId="42" xfId="0" applyFont="1" applyFill="1" applyBorder="1" applyAlignment="1">
      <alignment horizontal="center"/>
    </xf>
    <xf numFmtId="0" fontId="10" fillId="9" borderId="52" xfId="0" applyFont="1" applyFill="1" applyBorder="1" applyAlignment="1">
      <alignment horizontal="center"/>
    </xf>
    <xf numFmtId="0" fontId="10" fillId="9" borderId="43" xfId="0" applyFont="1" applyFill="1" applyBorder="1" applyAlignment="1">
      <alignment horizontal="center"/>
    </xf>
    <xf numFmtId="0" fontId="10" fillId="9" borderId="53" xfId="0" applyFont="1" applyFill="1" applyBorder="1"/>
    <xf numFmtId="0" fontId="10" fillId="9" borderId="4" xfId="0" applyFont="1" applyFill="1" applyBorder="1" applyAlignment="1"/>
    <xf numFmtId="0" fontId="10" fillId="9" borderId="5" xfId="0" applyFont="1" applyFill="1" applyBorder="1" applyAlignment="1"/>
    <xf numFmtId="0" fontId="16" fillId="0" borderId="47" xfId="0" applyFont="1" applyBorder="1" applyAlignment="1">
      <alignment horizontal="center"/>
    </xf>
    <xf numFmtId="0" fontId="17" fillId="0" borderId="53" xfId="0" applyFont="1" applyBorder="1" applyAlignment="1">
      <alignment horizontal="center"/>
    </xf>
    <xf numFmtId="0" fontId="16" fillId="0" borderId="53" xfId="0" applyFont="1" applyBorder="1" applyAlignment="1">
      <alignment horizontal="center"/>
    </xf>
    <xf numFmtId="0" fontId="18" fillId="2" borderId="54" xfId="2" applyFont="1" applyFill="1" applyBorder="1" applyAlignment="1">
      <alignment horizontal="center"/>
    </xf>
    <xf numFmtId="164" fontId="19" fillId="10" borderId="8" xfId="0" applyNumberFormat="1" applyFont="1" applyFill="1" applyBorder="1" applyAlignment="1" applyProtection="1">
      <alignment horizontal="center" vertical="center" wrapText="1"/>
      <protection locked="0"/>
    </xf>
    <xf numFmtId="164" fontId="20" fillId="10" borderId="8" xfId="0" applyNumberFormat="1" applyFont="1" applyFill="1" applyBorder="1" applyAlignment="1" applyProtection="1">
      <alignment horizontal="center" vertical="center" wrapText="1"/>
      <protection locked="0"/>
    </xf>
    <xf numFmtId="0" fontId="19" fillId="10" borderId="8" xfId="0" applyFont="1" applyFill="1" applyBorder="1" applyAlignment="1" applyProtection="1">
      <alignment vertical="center" wrapText="1"/>
      <protection locked="0"/>
    </xf>
    <xf numFmtId="164" fontId="11" fillId="11" borderId="29" xfId="0" applyNumberFormat="1" applyFont="1" applyFill="1" applyBorder="1" applyAlignment="1">
      <alignment horizontal="center"/>
    </xf>
    <xf numFmtId="164" fontId="11" fillId="11" borderId="30" xfId="0" applyNumberFormat="1" applyFont="1" applyFill="1" applyBorder="1" applyAlignment="1">
      <alignment horizontal="center"/>
    </xf>
    <xf numFmtId="164" fontId="11" fillId="11" borderId="31" xfId="0" applyNumberFormat="1" applyFont="1" applyFill="1" applyBorder="1" applyAlignment="1">
      <alignment horizontal="center"/>
    </xf>
    <xf numFmtId="164" fontId="12" fillId="11" borderId="29" xfId="0" applyNumberFormat="1" applyFont="1" applyFill="1" applyBorder="1" applyAlignment="1">
      <alignment horizontal="center"/>
    </xf>
    <xf numFmtId="2" fontId="13" fillId="11" borderId="30" xfId="0" applyNumberFormat="1" applyFont="1" applyFill="1" applyBorder="1" applyAlignment="1">
      <alignment horizontal="center"/>
    </xf>
    <xf numFmtId="2" fontId="13" fillId="11" borderId="31" xfId="0" applyNumberFormat="1" applyFont="1" applyFill="1" applyBorder="1" applyAlignment="1">
      <alignment horizontal="center"/>
    </xf>
    <xf numFmtId="2" fontId="10" fillId="11" borderId="30" xfId="0" applyNumberFormat="1" applyFont="1" applyFill="1" applyBorder="1" applyAlignment="1">
      <alignment horizontal="center"/>
    </xf>
    <xf numFmtId="2" fontId="10" fillId="11" borderId="32" xfId="0" applyNumberFormat="1" applyFont="1" applyFill="1" applyBorder="1" applyAlignment="1">
      <alignment horizontal="center"/>
    </xf>
    <xf numFmtId="0" fontId="10" fillId="11" borderId="31" xfId="0" applyFont="1" applyFill="1" applyBorder="1"/>
    <xf numFmtId="165" fontId="13" fillId="11" borderId="30" xfId="0" applyNumberFormat="1" applyFont="1" applyFill="1" applyBorder="1" applyAlignment="1">
      <alignment horizontal="center"/>
    </xf>
    <xf numFmtId="165" fontId="13" fillId="11" borderId="31" xfId="0" applyNumberFormat="1" applyFont="1" applyFill="1" applyBorder="1" applyAlignment="1">
      <alignment horizontal="center"/>
    </xf>
    <xf numFmtId="10" fontId="10" fillId="11" borderId="30" xfId="0" applyNumberFormat="1" applyFont="1" applyFill="1" applyBorder="1" applyAlignment="1">
      <alignment horizontal="center"/>
    </xf>
    <xf numFmtId="10" fontId="10" fillId="11" borderId="32" xfId="0" applyNumberFormat="1" applyFont="1" applyFill="1" applyBorder="1" applyAlignment="1">
      <alignment horizontal="center"/>
    </xf>
    <xf numFmtId="164" fontId="11" fillId="11" borderId="34" xfId="0" applyNumberFormat="1" applyFont="1" applyFill="1" applyBorder="1" applyAlignment="1">
      <alignment horizontal="center"/>
    </xf>
    <xf numFmtId="164" fontId="11" fillId="11" borderId="35" xfId="0" applyNumberFormat="1" applyFont="1" applyFill="1" applyBorder="1" applyAlignment="1">
      <alignment horizontal="center"/>
    </xf>
    <xf numFmtId="164" fontId="11" fillId="11" borderId="36" xfId="0" applyNumberFormat="1" applyFont="1" applyFill="1" applyBorder="1" applyAlignment="1">
      <alignment horizontal="center"/>
    </xf>
    <xf numFmtId="164" fontId="12" fillId="11" borderId="34" xfId="0" applyNumberFormat="1" applyFont="1" applyFill="1" applyBorder="1" applyAlignment="1">
      <alignment horizontal="center"/>
    </xf>
    <xf numFmtId="2" fontId="13" fillId="11" borderId="35" xfId="0" applyNumberFormat="1" applyFont="1" applyFill="1" applyBorder="1" applyAlignment="1">
      <alignment horizontal="center"/>
    </xf>
    <xf numFmtId="2" fontId="13" fillId="11" borderId="36" xfId="0" applyNumberFormat="1" applyFont="1" applyFill="1" applyBorder="1" applyAlignment="1">
      <alignment horizontal="center"/>
    </xf>
    <xf numFmtId="2" fontId="10" fillId="11" borderId="35" xfId="0" applyNumberFormat="1" applyFont="1" applyFill="1" applyBorder="1" applyAlignment="1">
      <alignment horizontal="center"/>
    </xf>
    <xf numFmtId="2" fontId="10" fillId="11" borderId="37" xfId="0" applyNumberFormat="1" applyFont="1" applyFill="1" applyBorder="1" applyAlignment="1">
      <alignment horizontal="center"/>
    </xf>
    <xf numFmtId="0" fontId="10" fillId="11" borderId="36" xfId="0" applyFont="1" applyFill="1" applyBorder="1"/>
    <xf numFmtId="0" fontId="10" fillId="11" borderId="4" xfId="0" applyFont="1" applyFill="1" applyBorder="1" applyAlignment="1">
      <alignment horizontal="center"/>
    </xf>
    <xf numFmtId="0" fontId="10" fillId="11" borderId="5" xfId="0" applyFont="1" applyFill="1" applyBorder="1" applyAlignment="1">
      <alignment horizontal="center"/>
    </xf>
    <xf numFmtId="0" fontId="10" fillId="11" borderId="42" xfId="0" applyFont="1" applyFill="1" applyBorder="1" applyAlignment="1">
      <alignment horizontal="center"/>
    </xf>
    <xf numFmtId="0" fontId="10" fillId="11" borderId="52" xfId="0" applyFont="1" applyFill="1" applyBorder="1" applyAlignment="1">
      <alignment horizontal="center"/>
    </xf>
    <xf numFmtId="0" fontId="10" fillId="11" borderId="43" xfId="0" applyFont="1" applyFill="1" applyBorder="1" applyAlignment="1">
      <alignment horizontal="center"/>
    </xf>
    <xf numFmtId="0" fontId="10" fillId="11" borderId="53" xfId="0" applyFont="1" applyFill="1" applyBorder="1"/>
    <xf numFmtId="164" fontId="12" fillId="8" borderId="29" xfId="0" applyNumberFormat="1" applyFont="1" applyFill="1" applyBorder="1" applyAlignment="1">
      <alignment horizontal="center"/>
    </xf>
    <xf numFmtId="2" fontId="13" fillId="8" borderId="30" xfId="0" applyNumberFormat="1" applyFont="1" applyFill="1" applyBorder="1" applyAlignment="1">
      <alignment horizontal="center"/>
    </xf>
    <xf numFmtId="2" fontId="13" fillId="8" borderId="31" xfId="0" applyNumberFormat="1" applyFont="1" applyFill="1" applyBorder="1" applyAlignment="1">
      <alignment horizontal="center"/>
    </xf>
    <xf numFmtId="2" fontId="10" fillId="8" borderId="30" xfId="0" applyNumberFormat="1" applyFont="1" applyFill="1" applyBorder="1" applyAlignment="1">
      <alignment horizontal="center"/>
    </xf>
    <xf numFmtId="2" fontId="10" fillId="8" borderId="32" xfId="0" applyNumberFormat="1" applyFont="1" applyFill="1" applyBorder="1" applyAlignment="1">
      <alignment horizontal="center"/>
    </xf>
    <xf numFmtId="0" fontId="10" fillId="8" borderId="31" xfId="0" applyFont="1" applyFill="1" applyBorder="1"/>
    <xf numFmtId="165" fontId="13" fillId="8" borderId="31" xfId="0" applyNumberFormat="1" applyFont="1" applyFill="1" applyBorder="1" applyAlignment="1">
      <alignment horizontal="center"/>
    </xf>
    <xf numFmtId="10" fontId="10" fillId="8" borderId="32" xfId="0" applyNumberFormat="1" applyFont="1" applyFill="1" applyBorder="1" applyAlignment="1">
      <alignment horizontal="center"/>
    </xf>
    <xf numFmtId="164" fontId="12" fillId="8" borderId="34" xfId="0" applyNumberFormat="1" applyFont="1" applyFill="1" applyBorder="1" applyAlignment="1">
      <alignment horizontal="center"/>
    </xf>
    <xf numFmtId="2" fontId="13" fillId="8" borderId="36" xfId="0" applyNumberFormat="1" applyFont="1" applyFill="1" applyBorder="1" applyAlignment="1">
      <alignment horizontal="center"/>
    </xf>
    <xf numFmtId="2" fontId="10" fillId="8" borderId="37" xfId="0" applyNumberFormat="1" applyFont="1" applyFill="1" applyBorder="1" applyAlignment="1">
      <alignment horizontal="center"/>
    </xf>
    <xf numFmtId="0" fontId="10" fillId="8" borderId="36" xfId="0" applyFont="1" applyFill="1" applyBorder="1"/>
    <xf numFmtId="0" fontId="10" fillId="8" borderId="5" xfId="0" applyFont="1" applyFill="1" applyBorder="1" applyAlignment="1">
      <alignment horizontal="center"/>
    </xf>
    <xf numFmtId="0" fontId="10" fillId="8" borderId="52" xfId="0" applyFont="1" applyFill="1" applyBorder="1" applyAlignment="1">
      <alignment horizontal="center"/>
    </xf>
    <xf numFmtId="0" fontId="10" fillId="8" borderId="53" xfId="0" applyFont="1" applyFill="1" applyBorder="1"/>
    <xf numFmtId="164" fontId="11" fillId="12" borderId="29" xfId="0" applyNumberFormat="1" applyFont="1" applyFill="1" applyBorder="1" applyAlignment="1">
      <alignment horizontal="center"/>
    </xf>
    <xf numFmtId="164" fontId="11" fillId="12" borderId="30" xfId="0" applyNumberFormat="1" applyFont="1" applyFill="1" applyBorder="1" applyAlignment="1">
      <alignment horizontal="center"/>
    </xf>
    <xf numFmtId="164" fontId="11" fillId="12" borderId="31" xfId="0" applyNumberFormat="1" applyFont="1" applyFill="1" applyBorder="1" applyAlignment="1">
      <alignment horizontal="center"/>
    </xf>
    <xf numFmtId="164" fontId="12" fillId="12" borderId="29" xfId="0" applyNumberFormat="1" applyFont="1" applyFill="1" applyBorder="1" applyAlignment="1">
      <alignment horizontal="center"/>
    </xf>
    <xf numFmtId="2" fontId="13" fillId="12" borderId="30" xfId="0" applyNumberFormat="1" applyFont="1" applyFill="1" applyBorder="1" applyAlignment="1">
      <alignment horizontal="center"/>
    </xf>
    <xf numFmtId="2" fontId="13" fillId="12" borderId="31" xfId="0" applyNumberFormat="1" applyFont="1" applyFill="1" applyBorder="1" applyAlignment="1">
      <alignment horizontal="center"/>
    </xf>
    <xf numFmtId="2" fontId="10" fillId="12" borderId="30" xfId="0" applyNumberFormat="1" applyFont="1" applyFill="1" applyBorder="1" applyAlignment="1">
      <alignment horizontal="center"/>
    </xf>
    <xf numFmtId="2" fontId="10" fillId="12" borderId="32" xfId="0" applyNumberFormat="1" applyFont="1" applyFill="1" applyBorder="1" applyAlignment="1">
      <alignment horizontal="center"/>
    </xf>
    <xf numFmtId="0" fontId="10" fillId="12" borderId="31" xfId="0" applyFont="1" applyFill="1" applyBorder="1"/>
    <xf numFmtId="165" fontId="13" fillId="12" borderId="30" xfId="0" applyNumberFormat="1" applyFont="1" applyFill="1" applyBorder="1" applyAlignment="1">
      <alignment horizontal="center"/>
    </xf>
    <xf numFmtId="165" fontId="13" fillId="12" borderId="31" xfId="0" applyNumberFormat="1" applyFont="1" applyFill="1" applyBorder="1" applyAlignment="1">
      <alignment horizontal="center"/>
    </xf>
    <xf numFmtId="10" fontId="10" fillId="12" borderId="30" xfId="0" applyNumberFormat="1" applyFont="1" applyFill="1" applyBorder="1" applyAlignment="1">
      <alignment horizontal="center"/>
    </xf>
    <xf numFmtId="10" fontId="10" fillId="12" borderId="32" xfId="0" applyNumberFormat="1" applyFont="1" applyFill="1" applyBorder="1" applyAlignment="1">
      <alignment horizontal="center"/>
    </xf>
    <xf numFmtId="164" fontId="11" fillId="12" borderId="34" xfId="0" applyNumberFormat="1" applyFont="1" applyFill="1" applyBorder="1" applyAlignment="1">
      <alignment horizontal="center"/>
    </xf>
    <xf numFmtId="164" fontId="11" fillId="12" borderId="35" xfId="0" applyNumberFormat="1" applyFont="1" applyFill="1" applyBorder="1" applyAlignment="1">
      <alignment horizontal="center"/>
    </xf>
    <xf numFmtId="164" fontId="11" fillId="12" borderId="36" xfId="0" applyNumberFormat="1" applyFont="1" applyFill="1" applyBorder="1" applyAlignment="1">
      <alignment horizontal="center"/>
    </xf>
    <xf numFmtId="164" fontId="12" fillId="12" borderId="34" xfId="0" applyNumberFormat="1" applyFont="1" applyFill="1" applyBorder="1" applyAlignment="1">
      <alignment horizontal="center"/>
    </xf>
    <xf numFmtId="2" fontId="13" fillId="12" borderId="35" xfId="0" applyNumberFormat="1" applyFont="1" applyFill="1" applyBorder="1" applyAlignment="1">
      <alignment horizontal="center"/>
    </xf>
    <xf numFmtId="2" fontId="13" fillId="12" borderId="36" xfId="0" applyNumberFormat="1" applyFont="1" applyFill="1" applyBorder="1" applyAlignment="1">
      <alignment horizontal="center"/>
    </xf>
    <xf numFmtId="2" fontId="10" fillId="12" borderId="35" xfId="0" applyNumberFormat="1" applyFont="1" applyFill="1" applyBorder="1" applyAlignment="1">
      <alignment horizontal="center"/>
    </xf>
    <xf numFmtId="2" fontId="10" fillId="12" borderId="37" xfId="0" applyNumberFormat="1" applyFont="1" applyFill="1" applyBorder="1" applyAlignment="1">
      <alignment horizontal="center"/>
    </xf>
    <xf numFmtId="0" fontId="10" fillId="12" borderId="36" xfId="0" applyFont="1" applyFill="1" applyBorder="1"/>
    <xf numFmtId="0" fontId="10" fillId="12" borderId="4" xfId="0" applyFont="1" applyFill="1" applyBorder="1" applyAlignment="1">
      <alignment horizontal="center"/>
    </xf>
    <xf numFmtId="0" fontId="10" fillId="12" borderId="5" xfId="0" applyFont="1" applyFill="1" applyBorder="1" applyAlignment="1">
      <alignment horizontal="center"/>
    </xf>
    <xf numFmtId="0" fontId="10" fillId="12" borderId="42" xfId="0" applyFont="1" applyFill="1" applyBorder="1" applyAlignment="1">
      <alignment horizontal="center"/>
    </xf>
    <xf numFmtId="0" fontId="10" fillId="12" borderId="52" xfId="0" applyFont="1" applyFill="1" applyBorder="1" applyAlignment="1">
      <alignment horizontal="center"/>
    </xf>
    <xf numFmtId="0" fontId="10" fillId="12" borderId="43" xfId="0" applyFont="1" applyFill="1" applyBorder="1" applyAlignment="1">
      <alignment horizontal="center"/>
    </xf>
    <xf numFmtId="0" fontId="10" fillId="12" borderId="53" xfId="0" applyFont="1" applyFill="1" applyBorder="1"/>
    <xf numFmtId="164" fontId="11" fillId="9" borderId="31" xfId="0" applyNumberFormat="1" applyFont="1" applyFill="1" applyBorder="1" applyAlignment="1">
      <alignment horizontal="center"/>
    </xf>
    <xf numFmtId="164" fontId="12" fillId="9" borderId="29" xfId="0" applyNumberFormat="1" applyFont="1" applyFill="1" applyBorder="1" applyAlignment="1">
      <alignment horizontal="center"/>
    </xf>
    <xf numFmtId="0" fontId="10" fillId="9" borderId="31" xfId="0" applyFont="1" applyFill="1" applyBorder="1"/>
    <xf numFmtId="10" fontId="10" fillId="9" borderId="32" xfId="0" applyNumberFormat="1" applyFont="1" applyFill="1" applyBorder="1" applyAlignment="1">
      <alignment horizontal="center"/>
    </xf>
    <xf numFmtId="164" fontId="12" fillId="9" borderId="34" xfId="0" applyNumberFormat="1" applyFont="1" applyFill="1" applyBorder="1" applyAlignment="1">
      <alignment horizontal="center"/>
    </xf>
    <xf numFmtId="0" fontId="10" fillId="9" borderId="36" xfId="0" applyFont="1" applyFill="1" applyBorder="1"/>
    <xf numFmtId="0" fontId="21" fillId="2" borderId="56" xfId="2" applyFont="1" applyFill="1" applyBorder="1" applyAlignment="1">
      <alignment horizontal="center"/>
    </xf>
    <xf numFmtId="0" fontId="21" fillId="2" borderId="57" xfId="2" applyFont="1" applyFill="1" applyBorder="1" applyAlignment="1">
      <alignment horizontal="center"/>
    </xf>
    <xf numFmtId="0" fontId="21" fillId="2" borderId="58" xfId="2" applyFont="1" applyFill="1" applyBorder="1" applyAlignment="1">
      <alignment horizontal="center"/>
    </xf>
    <xf numFmtId="0" fontId="16" fillId="2" borderId="1" xfId="2" applyFont="1" applyFill="1" applyBorder="1" applyAlignment="1">
      <alignment horizontal="left"/>
    </xf>
    <xf numFmtId="0" fontId="16" fillId="2" borderId="54" xfId="2" applyFont="1" applyFill="1" applyBorder="1" applyAlignment="1">
      <alignment horizontal="left"/>
    </xf>
    <xf numFmtId="164" fontId="19" fillId="10" borderId="4" xfId="0" applyNumberFormat="1" applyFont="1" applyFill="1" applyBorder="1" applyAlignment="1" applyProtection="1">
      <alignment horizontal="center" vertical="center" wrapText="1"/>
      <protection locked="0"/>
    </xf>
    <xf numFmtId="164" fontId="20" fillId="10" borderId="4" xfId="0" applyNumberFormat="1" applyFont="1" applyFill="1" applyBorder="1" applyAlignment="1" applyProtection="1">
      <alignment horizontal="center" vertical="center" wrapText="1"/>
      <protection locked="0"/>
    </xf>
    <xf numFmtId="0" fontId="19" fillId="10" borderId="4" xfId="0" applyFont="1" applyFill="1" applyBorder="1" applyAlignment="1" applyProtection="1">
      <alignment vertical="center" wrapText="1"/>
      <protection locked="0"/>
    </xf>
    <xf numFmtId="0" fontId="19" fillId="10" borderId="5" xfId="0" applyFont="1" applyFill="1" applyBorder="1" applyAlignment="1" applyProtection="1">
      <alignment vertical="center" wrapText="1"/>
      <protection locked="0"/>
    </xf>
    <xf numFmtId="164" fontId="12" fillId="11" borderId="32" xfId="0" applyNumberFormat="1" applyFont="1" applyFill="1" applyBorder="1" applyAlignment="1">
      <alignment horizontal="center"/>
    </xf>
    <xf numFmtId="164" fontId="12" fillId="11" borderId="37" xfId="0" applyNumberFormat="1" applyFont="1" applyFill="1" applyBorder="1" applyAlignment="1">
      <alignment horizontal="center"/>
    </xf>
    <xf numFmtId="0" fontId="22" fillId="11" borderId="4" xfId="0" applyFont="1" applyFill="1" applyBorder="1" applyAlignment="1">
      <alignment horizontal="center"/>
    </xf>
    <xf numFmtId="0" fontId="10" fillId="11" borderId="59" xfId="0" applyFont="1" applyFill="1" applyBorder="1" applyAlignment="1">
      <alignment horizontal="center"/>
    </xf>
    <xf numFmtId="0" fontId="10" fillId="11" borderId="4" xfId="0" applyFont="1" applyFill="1" applyBorder="1" applyAlignment="1"/>
    <xf numFmtId="164" fontId="11" fillId="8" borderId="48" xfId="0" applyNumberFormat="1" applyFont="1" applyFill="1" applyBorder="1" applyAlignment="1">
      <alignment horizontal="center"/>
    </xf>
    <xf numFmtId="164" fontId="11" fillId="8" borderId="49" xfId="0" applyNumberFormat="1" applyFont="1" applyFill="1" applyBorder="1" applyAlignment="1">
      <alignment horizontal="center"/>
    </xf>
    <xf numFmtId="164" fontId="11" fillId="8" borderId="60" xfId="0" applyNumberFormat="1" applyFont="1" applyFill="1" applyBorder="1" applyAlignment="1">
      <alignment horizontal="center"/>
    </xf>
    <xf numFmtId="2" fontId="13" fillId="8" borderId="33" xfId="0" applyNumberFormat="1" applyFont="1" applyFill="1" applyBorder="1" applyAlignment="1">
      <alignment horizontal="center"/>
    </xf>
    <xf numFmtId="164" fontId="11" fillId="12" borderId="48" xfId="0" applyNumberFormat="1" applyFont="1" applyFill="1" applyBorder="1" applyAlignment="1">
      <alignment horizontal="center"/>
    </xf>
    <xf numFmtId="164" fontId="11" fillId="12" borderId="49" xfId="0" applyNumberFormat="1" applyFont="1" applyFill="1" applyBorder="1" applyAlignment="1">
      <alignment horizontal="center"/>
    </xf>
    <xf numFmtId="164" fontId="11" fillId="12" borderId="60" xfId="0" applyNumberFormat="1" applyFont="1" applyFill="1" applyBorder="1" applyAlignment="1">
      <alignment horizontal="center"/>
    </xf>
    <xf numFmtId="164" fontId="12" fillId="12" borderId="32" xfId="0" applyNumberFormat="1" applyFont="1" applyFill="1" applyBorder="1" applyAlignment="1">
      <alignment horizontal="center"/>
    </xf>
    <xf numFmtId="2" fontId="13" fillId="12" borderId="33" xfId="0" applyNumberFormat="1" applyFont="1" applyFill="1" applyBorder="1" applyAlignment="1">
      <alignment horizontal="center"/>
    </xf>
    <xf numFmtId="2" fontId="10" fillId="12" borderId="24" xfId="0" applyNumberFormat="1" applyFont="1" applyFill="1" applyBorder="1" applyAlignment="1">
      <alignment horizontal="center"/>
    </xf>
    <xf numFmtId="2" fontId="10" fillId="12" borderId="25" xfId="0" applyNumberFormat="1" applyFont="1" applyFill="1" applyBorder="1" applyAlignment="1">
      <alignment horizontal="center"/>
    </xf>
    <xf numFmtId="2" fontId="10" fillId="12" borderId="26" xfId="0" applyNumberFormat="1" applyFont="1" applyFill="1" applyBorder="1" applyAlignment="1">
      <alignment horizontal="center"/>
    </xf>
    <xf numFmtId="0" fontId="10" fillId="12" borderId="15" xfId="0" applyFont="1" applyFill="1" applyBorder="1"/>
    <xf numFmtId="165" fontId="13" fillId="12" borderId="33" xfId="0" applyNumberFormat="1" applyFont="1" applyFill="1" applyBorder="1" applyAlignment="1">
      <alignment horizontal="center"/>
    </xf>
    <xf numFmtId="10" fontId="10" fillId="12" borderId="29" xfId="0" applyNumberFormat="1" applyFont="1" applyFill="1" applyBorder="1" applyAlignment="1">
      <alignment horizontal="center"/>
    </xf>
    <xf numFmtId="10" fontId="10" fillId="12" borderId="31" xfId="0" applyNumberFormat="1" applyFont="1" applyFill="1" applyBorder="1" applyAlignment="1">
      <alignment horizontal="center"/>
    </xf>
    <xf numFmtId="164" fontId="12" fillId="12" borderId="37" xfId="0" applyNumberFormat="1" applyFont="1" applyFill="1" applyBorder="1" applyAlignment="1">
      <alignment horizontal="center"/>
    </xf>
    <xf numFmtId="2" fontId="13" fillId="12" borderId="38" xfId="0" applyNumberFormat="1" applyFont="1" applyFill="1" applyBorder="1" applyAlignment="1">
      <alignment horizontal="center"/>
    </xf>
    <xf numFmtId="2" fontId="10" fillId="12" borderId="34" xfId="0" applyNumberFormat="1" applyFont="1" applyFill="1" applyBorder="1" applyAlignment="1">
      <alignment horizontal="center"/>
    </xf>
    <xf numFmtId="2" fontId="10" fillId="12" borderId="36" xfId="0" applyNumberFormat="1" applyFont="1" applyFill="1" applyBorder="1" applyAlignment="1">
      <alignment horizontal="center"/>
    </xf>
    <xf numFmtId="0" fontId="10" fillId="12" borderId="39" xfId="0" applyFont="1" applyFill="1" applyBorder="1"/>
    <xf numFmtId="0" fontId="10" fillId="12" borderId="41" xfId="0" applyFont="1" applyFill="1" applyBorder="1" applyAlignment="1">
      <alignment horizontal="center"/>
    </xf>
    <xf numFmtId="0" fontId="10" fillId="12" borderId="5" xfId="0" applyFont="1" applyFill="1" applyBorder="1"/>
    <xf numFmtId="0" fontId="10" fillId="12" borderId="4" xfId="0" applyFont="1" applyFill="1" applyBorder="1" applyAlignment="1"/>
    <xf numFmtId="0" fontId="19" fillId="10" borderId="55" xfId="0" applyFont="1" applyFill="1" applyBorder="1" applyAlignment="1" applyProtection="1">
      <alignment vertical="center" wrapText="1"/>
      <protection locked="0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wrapText="1"/>
    </xf>
    <xf numFmtId="0" fontId="0" fillId="0" borderId="0" xfId="0" applyAlignment="1">
      <alignment horizontal="center" wrapText="1"/>
    </xf>
    <xf numFmtId="1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wrapText="1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wrapText="1"/>
    </xf>
    <xf numFmtId="1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vertical="center" wrapText="1"/>
    </xf>
    <xf numFmtId="1" fontId="0" fillId="0" borderId="0" xfId="0" applyNumberFormat="1" applyAlignment="1">
      <alignment vertical="center"/>
    </xf>
    <xf numFmtId="166" fontId="0" fillId="0" borderId="0" xfId="0" applyNumberFormat="1" applyAlignment="1">
      <alignment horizontal="center" vertical="center"/>
    </xf>
    <xf numFmtId="0" fontId="3" fillId="13" borderId="0" xfId="0" applyFont="1" applyFill="1"/>
    <xf numFmtId="0" fontId="3" fillId="13" borderId="0" xfId="0" applyFont="1" applyFill="1" applyAlignment="1">
      <alignment horizontal="center"/>
    </xf>
    <xf numFmtId="2" fontId="3" fillId="13" borderId="0" xfId="0" applyNumberFormat="1" applyFont="1" applyFill="1" applyAlignment="1">
      <alignment horizontal="center"/>
    </xf>
    <xf numFmtId="0" fontId="3" fillId="13" borderId="0" xfId="0" applyFont="1" applyFill="1" applyAlignment="1">
      <alignment horizontal="center" vertical="center"/>
    </xf>
    <xf numFmtId="0" fontId="3" fillId="13" borderId="0" xfId="0" applyFont="1" applyFill="1" applyAlignment="1">
      <alignment wrapText="1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/>
    <xf numFmtId="167" fontId="0" fillId="0" borderId="0" xfId="0" applyNumberFormat="1" applyAlignment="1">
      <alignment horizontal="left"/>
    </xf>
    <xf numFmtId="0" fontId="3" fillId="3" borderId="2" xfId="3" applyAlignment="1">
      <alignment horizontal="center"/>
    </xf>
    <xf numFmtId="0" fontId="3" fillId="3" borderId="2" xfId="3" applyAlignment="1">
      <alignment horizontal="left"/>
    </xf>
    <xf numFmtId="167" fontId="3" fillId="3" borderId="2" xfId="3" applyNumberFormat="1" applyAlignment="1">
      <alignment horizontal="center"/>
    </xf>
    <xf numFmtId="0" fontId="0" fillId="0" borderId="30" xfId="0" applyBorder="1" applyAlignment="1">
      <alignment horizontal="center"/>
    </xf>
    <xf numFmtId="0" fontId="23" fillId="0" borderId="30" xfId="0" applyFont="1" applyBorder="1" applyAlignment="1">
      <alignment horizontal="center"/>
    </xf>
    <xf numFmtId="0" fontId="0" fillId="0" borderId="30" xfId="0" applyBorder="1"/>
    <xf numFmtId="0" fontId="24" fillId="0" borderId="32" xfId="0" applyFont="1" applyBorder="1"/>
    <xf numFmtId="0" fontId="3" fillId="15" borderId="35" xfId="0" applyFont="1" applyFill="1" applyBorder="1" applyAlignment="1">
      <alignment horizontal="center"/>
    </xf>
    <xf numFmtId="168" fontId="27" fillId="4" borderId="30" xfId="0" applyNumberFormat="1" applyFont="1" applyFill="1" applyBorder="1" applyAlignment="1">
      <alignment horizontal="center" vertical="center"/>
    </xf>
    <xf numFmtId="0" fontId="28" fillId="16" borderId="31" xfId="0" applyFont="1" applyFill="1" applyBorder="1" applyAlignment="1" applyProtection="1">
      <alignment horizontal="left" vertical="center" wrapText="1"/>
      <protection locked="0"/>
    </xf>
    <xf numFmtId="168" fontId="29" fillId="0" borderId="25" xfId="0" applyNumberFormat="1" applyFont="1" applyBorder="1" applyAlignment="1">
      <alignment horizontal="center" vertical="center"/>
    </xf>
    <xf numFmtId="0" fontId="30" fillId="16" borderId="26" xfId="0" applyFont="1" applyFill="1" applyBorder="1" applyAlignment="1" applyProtection="1">
      <alignment horizontal="left" vertical="center" wrapText="1"/>
      <protection locked="0"/>
    </xf>
    <xf numFmtId="168" fontId="27" fillId="0" borderId="30" xfId="0" applyNumberFormat="1" applyFont="1" applyBorder="1" applyAlignment="1">
      <alignment horizontal="center" vertical="center"/>
    </xf>
    <xf numFmtId="168" fontId="29" fillId="4" borderId="30" xfId="0" applyNumberFormat="1" applyFont="1" applyFill="1" applyBorder="1" applyAlignment="1">
      <alignment horizontal="center" vertical="center"/>
    </xf>
    <xf numFmtId="0" fontId="30" fillId="16" borderId="31" xfId="0" applyFont="1" applyFill="1" applyBorder="1" applyAlignment="1" applyProtection="1">
      <alignment horizontal="left" vertical="center" wrapText="1"/>
      <protection locked="0"/>
    </xf>
    <xf numFmtId="10" fontId="29" fillId="0" borderId="30" xfId="1" applyNumberFormat="1" applyFont="1" applyBorder="1" applyAlignment="1" applyProtection="1">
      <alignment horizontal="center" vertical="center"/>
      <protection hidden="1"/>
    </xf>
    <xf numFmtId="0" fontId="27" fillId="0" borderId="30" xfId="0" applyFont="1" applyBorder="1" applyAlignment="1" applyProtection="1">
      <alignment horizontal="center" vertical="center"/>
      <protection hidden="1"/>
    </xf>
    <xf numFmtId="0" fontId="27" fillId="0" borderId="45" xfId="0" applyFont="1" applyBorder="1" applyAlignment="1" applyProtection="1">
      <alignment horizontal="center" vertical="center"/>
      <protection hidden="1"/>
    </xf>
    <xf numFmtId="0" fontId="28" fillId="16" borderId="46" xfId="0" applyFont="1" applyFill="1" applyBorder="1" applyAlignment="1" applyProtection="1">
      <alignment horizontal="left" vertical="center" wrapText="1"/>
      <protection locked="0"/>
    </xf>
    <xf numFmtId="0" fontId="30" fillId="10" borderId="21" xfId="0" applyFont="1" applyFill="1" applyBorder="1" applyAlignment="1" applyProtection="1">
      <alignment horizontal="center" vertical="center" wrapText="1"/>
      <protection locked="0"/>
    </xf>
    <xf numFmtId="0" fontId="30" fillId="10" borderId="47" xfId="0" applyFont="1" applyFill="1" applyBorder="1" applyAlignment="1" applyProtection="1">
      <alignment horizontal="center" vertical="center" wrapText="1"/>
      <protection locked="0"/>
    </xf>
    <xf numFmtId="0" fontId="30" fillId="10" borderId="4" xfId="0" applyFont="1" applyFill="1" applyBorder="1" applyAlignment="1" applyProtection="1">
      <alignment horizontal="left" vertical="center" wrapText="1"/>
      <protection locked="0"/>
    </xf>
    <xf numFmtId="0" fontId="30" fillId="10" borderId="5" xfId="0" applyFont="1" applyFill="1" applyBorder="1" applyAlignment="1" applyProtection="1">
      <alignment horizontal="left" vertical="center" wrapText="1"/>
      <protection locked="0"/>
    </xf>
    <xf numFmtId="0" fontId="28" fillId="6" borderId="63" xfId="0" applyFont="1" applyFill="1" applyBorder="1" applyAlignment="1" applyProtection="1">
      <alignment horizontal="center" vertical="center"/>
      <protection locked="0"/>
    </xf>
    <xf numFmtId="1" fontId="28" fillId="6" borderId="63" xfId="0" applyNumberFormat="1" applyFont="1" applyFill="1" applyBorder="1" applyAlignment="1" applyProtection="1">
      <alignment horizontal="center" vertical="center"/>
      <protection locked="0"/>
    </xf>
    <xf numFmtId="1" fontId="30" fillId="10" borderId="21" xfId="0" applyNumberFormat="1" applyFont="1" applyFill="1" applyBorder="1" applyAlignment="1" applyProtection="1">
      <alignment horizontal="center" vertical="center" wrapText="1"/>
      <protection locked="0"/>
    </xf>
    <xf numFmtId="0" fontId="28" fillId="6" borderId="53" xfId="0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/>
      <protection locked="0"/>
    </xf>
    <xf numFmtId="0" fontId="28" fillId="6" borderId="40" xfId="0" applyFont="1" applyFill="1" applyBorder="1" applyAlignment="1" applyProtection="1">
      <alignment horizontal="center" vertical="center"/>
      <protection locked="0"/>
    </xf>
    <xf numFmtId="0" fontId="28" fillId="6" borderId="64" xfId="0" applyFont="1" applyFill="1" applyBorder="1" applyAlignment="1" applyProtection="1">
      <alignment horizontal="center" vertical="center"/>
      <protection locked="0"/>
    </xf>
    <xf numFmtId="0" fontId="28" fillId="6" borderId="65" xfId="0" applyFont="1" applyFill="1" applyBorder="1" applyAlignment="1" applyProtection="1">
      <alignment horizontal="center" vertical="center"/>
      <protection locked="0"/>
    </xf>
    <xf numFmtId="1" fontId="28" fillId="6" borderId="65" xfId="0" applyNumberFormat="1" applyFont="1" applyFill="1" applyBorder="1" applyAlignment="1" applyProtection="1">
      <alignment horizontal="center" vertical="center"/>
      <protection locked="0"/>
    </xf>
    <xf numFmtId="0" fontId="25" fillId="14" borderId="30" xfId="0" applyFont="1" applyFill="1" applyBorder="1" applyAlignment="1">
      <alignment horizontal="center"/>
    </xf>
    <xf numFmtId="0" fontId="33" fillId="17" borderId="47" xfId="0" applyFont="1" applyFill="1" applyBorder="1" applyAlignment="1" applyProtection="1">
      <alignment horizontal="center" vertical="center" wrapText="1"/>
      <protection locked="0"/>
    </xf>
    <xf numFmtId="0" fontId="34" fillId="16" borderId="45" xfId="0" applyFont="1" applyFill="1" applyBorder="1" applyAlignment="1" applyProtection="1">
      <alignment horizontal="center" vertical="center" wrapText="1"/>
      <protection locked="0"/>
    </xf>
    <xf numFmtId="0" fontId="34" fillId="16" borderId="30" xfId="0" applyFont="1" applyFill="1" applyBorder="1" applyAlignment="1" applyProtection="1">
      <alignment horizontal="center" vertical="center" wrapText="1"/>
      <protection locked="0"/>
    </xf>
    <xf numFmtId="0" fontId="34" fillId="16" borderId="25" xfId="0" applyFont="1" applyFill="1" applyBorder="1" applyAlignment="1" applyProtection="1">
      <alignment horizontal="center" vertical="center" wrapText="1"/>
      <protection locked="0"/>
    </xf>
    <xf numFmtId="169" fontId="35" fillId="16" borderId="30" xfId="0" applyNumberFormat="1" applyFont="1" applyFill="1" applyBorder="1" applyAlignment="1" applyProtection="1">
      <alignment horizontal="center" vertical="center" wrapText="1"/>
      <protection locked="0"/>
    </xf>
    <xf numFmtId="0" fontId="33" fillId="17" borderId="21" xfId="0" applyFont="1" applyFill="1" applyBorder="1" applyAlignment="1" applyProtection="1">
      <alignment horizontal="center" vertical="center" wrapText="1"/>
      <protection locked="0"/>
    </xf>
    <xf numFmtId="0" fontId="34" fillId="16" borderId="44" xfId="0" applyFont="1" applyFill="1" applyBorder="1" applyAlignment="1" applyProtection="1">
      <alignment horizontal="center" vertical="center" wrapText="1"/>
      <protection locked="0"/>
    </xf>
    <xf numFmtId="0" fontId="34" fillId="16" borderId="29" xfId="0" applyFont="1" applyFill="1" applyBorder="1" applyAlignment="1" applyProtection="1">
      <alignment horizontal="center" vertical="center" wrapText="1"/>
      <protection locked="0"/>
    </xf>
    <xf numFmtId="0" fontId="34" fillId="16" borderId="24" xfId="0" applyFont="1" applyFill="1" applyBorder="1" applyAlignment="1" applyProtection="1">
      <alignment horizontal="center" vertical="center" wrapText="1"/>
      <protection locked="0"/>
    </xf>
    <xf numFmtId="169" fontId="35" fillId="16" borderId="29" xfId="0" applyNumberFormat="1" applyFont="1" applyFill="1" applyBorder="1" applyAlignment="1" applyProtection="1">
      <alignment horizontal="center" vertical="center" wrapText="1"/>
      <protection locked="0"/>
    </xf>
    <xf numFmtId="1" fontId="27" fillId="0" borderId="45" xfId="0" applyNumberFormat="1" applyFont="1" applyBorder="1" applyAlignment="1" applyProtection="1">
      <alignment horizontal="center" vertical="center"/>
      <protection hidden="1"/>
    </xf>
    <xf numFmtId="165" fontId="36" fillId="16" borderId="30" xfId="1" applyNumberFormat="1" applyFont="1" applyFill="1" applyBorder="1" applyAlignment="1" applyProtection="1">
      <alignment horizontal="center" vertical="center" wrapText="1"/>
      <protection locked="0"/>
    </xf>
    <xf numFmtId="0" fontId="37" fillId="16" borderId="30" xfId="0" applyFont="1" applyFill="1" applyBorder="1" applyAlignment="1" applyProtection="1">
      <alignment horizontal="center" vertical="center" wrapText="1"/>
      <protection locked="0"/>
    </xf>
    <xf numFmtId="170" fontId="36" fillId="16" borderId="30" xfId="0" applyNumberFormat="1" applyFont="1" applyFill="1" applyBorder="1" applyAlignment="1" applyProtection="1">
      <alignment horizontal="center" vertical="center" wrapText="1"/>
      <protection locked="0"/>
    </xf>
    <xf numFmtId="165" fontId="38" fillId="16" borderId="29" xfId="1" applyNumberFormat="1" applyFont="1" applyFill="1" applyBorder="1" applyAlignment="1" applyProtection="1">
      <alignment horizontal="center" vertical="center" wrapText="1"/>
      <protection locked="0"/>
    </xf>
    <xf numFmtId="0" fontId="39" fillId="16" borderId="29" xfId="0" applyFont="1" applyFill="1" applyBorder="1" applyAlignment="1" applyProtection="1">
      <alignment horizontal="center" vertical="center" wrapText="1"/>
      <protection locked="0"/>
    </xf>
    <xf numFmtId="170" fontId="38" fillId="16" borderId="29" xfId="0" applyNumberFormat="1" applyFont="1" applyFill="1" applyBorder="1" applyAlignment="1" applyProtection="1">
      <alignment horizontal="center" vertical="center" wrapText="1"/>
      <protection locked="0"/>
    </xf>
    <xf numFmtId="0" fontId="40" fillId="0" borderId="66" xfId="0" applyFont="1" applyFill="1" applyBorder="1" applyAlignment="1">
      <alignment horizontal="center"/>
    </xf>
    <xf numFmtId="0" fontId="25" fillId="18" borderId="30" xfId="0" applyFont="1" applyFill="1" applyBorder="1" applyAlignment="1">
      <alignment horizontal="center"/>
    </xf>
    <xf numFmtId="0" fontId="31" fillId="14" borderId="21" xfId="0" applyFont="1" applyFill="1" applyBorder="1" applyAlignment="1" applyProtection="1">
      <alignment horizontal="center" vertical="center"/>
      <protection locked="0"/>
    </xf>
    <xf numFmtId="1" fontId="3" fillId="13" borderId="0" xfId="0" applyNumberFormat="1" applyFont="1" applyFill="1" applyAlignment="1">
      <alignment horizontal="center"/>
    </xf>
    <xf numFmtId="0" fontId="31" fillId="14" borderId="23" xfId="0" applyFont="1" applyFill="1" applyBorder="1" applyAlignment="1" applyProtection="1">
      <alignment horizontal="center" vertical="center"/>
      <protection locked="0"/>
    </xf>
    <xf numFmtId="0" fontId="31" fillId="14" borderId="22" xfId="0" applyFont="1" applyFill="1" applyBorder="1" applyAlignment="1" applyProtection="1">
      <alignment horizontal="center" vertical="center"/>
      <protection locked="0"/>
    </xf>
    <xf numFmtId="0" fontId="25" fillId="19" borderId="30" xfId="0" applyFont="1" applyFill="1" applyBorder="1" applyAlignment="1">
      <alignment horizontal="center"/>
    </xf>
    <xf numFmtId="0" fontId="25" fillId="20" borderId="30" xfId="0" applyFont="1" applyFill="1" applyBorder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9" fillId="7" borderId="3" xfId="0" applyFont="1" applyFill="1" applyBorder="1" applyAlignment="1">
      <alignment horizontal="center" vertical="center"/>
    </xf>
    <xf numFmtId="0" fontId="8" fillId="6" borderId="23" xfId="0" applyFont="1" applyFill="1" applyBorder="1" applyAlignment="1">
      <alignment horizontal="left" vertical="center"/>
    </xf>
    <xf numFmtId="0" fontId="8" fillId="6" borderId="22" xfId="0" applyFont="1" applyFill="1" applyBorder="1" applyAlignment="1">
      <alignment horizontal="left" vertical="center"/>
    </xf>
    <xf numFmtId="0" fontId="8" fillId="6" borderId="21" xfId="0" applyFont="1" applyFill="1" applyBorder="1" applyAlignment="1">
      <alignment horizontal="left" vertical="center"/>
    </xf>
    <xf numFmtId="164" fontId="14" fillId="11" borderId="47" xfId="0" applyNumberFormat="1" applyFont="1" applyFill="1" applyBorder="1" applyAlignment="1">
      <alignment horizontal="center" vertical="center"/>
    </xf>
    <xf numFmtId="0" fontId="14" fillId="11" borderId="40" xfId="0" applyFont="1" applyFill="1" applyBorder="1" applyAlignment="1">
      <alignment horizontal="center" vertical="center"/>
    </xf>
    <xf numFmtId="164" fontId="14" fillId="12" borderId="47" xfId="0" applyNumberFormat="1" applyFont="1" applyFill="1" applyBorder="1" applyAlignment="1">
      <alignment horizontal="center" vertical="center"/>
    </xf>
    <xf numFmtId="0" fontId="14" fillId="12" borderId="40" xfId="0" applyFont="1" applyFill="1" applyBorder="1" applyAlignment="1">
      <alignment horizontal="center" vertical="center"/>
    </xf>
    <xf numFmtId="164" fontId="14" fillId="8" borderId="47" xfId="0" applyNumberFormat="1" applyFont="1" applyFill="1" applyBorder="1" applyAlignment="1">
      <alignment horizontal="center" vertical="center"/>
    </xf>
    <xf numFmtId="0" fontId="14" fillId="8" borderId="40" xfId="0" applyFont="1" applyFill="1" applyBorder="1" applyAlignment="1">
      <alignment horizontal="center" vertical="center"/>
    </xf>
    <xf numFmtId="164" fontId="14" fillId="8" borderId="45" xfId="0" applyNumberFormat="1" applyFont="1" applyFill="1" applyBorder="1" applyAlignment="1">
      <alignment horizontal="center" vertical="center"/>
    </xf>
    <xf numFmtId="164" fontId="14" fillId="8" borderId="25" xfId="0" applyNumberFormat="1" applyFont="1" applyFill="1" applyBorder="1" applyAlignment="1">
      <alignment horizontal="center" vertical="center"/>
    </xf>
    <xf numFmtId="164" fontId="14" fillId="12" borderId="46" xfId="0" applyNumberFormat="1" applyFont="1" applyFill="1" applyBorder="1" applyAlignment="1">
      <alignment horizontal="center" vertical="center"/>
    </xf>
    <xf numFmtId="164" fontId="14" fillId="12" borderId="26" xfId="0" applyNumberFormat="1" applyFont="1" applyFill="1" applyBorder="1" applyAlignment="1">
      <alignment horizontal="center" vertical="center"/>
    </xf>
    <xf numFmtId="164" fontId="14" fillId="12" borderId="45" xfId="0" applyNumberFormat="1" applyFont="1" applyFill="1" applyBorder="1" applyAlignment="1">
      <alignment horizontal="center" vertical="center"/>
    </xf>
    <xf numFmtId="164" fontId="14" fillId="12" borderId="25" xfId="0" applyNumberFormat="1" applyFont="1" applyFill="1" applyBorder="1" applyAlignment="1">
      <alignment horizontal="center" vertical="center"/>
    </xf>
    <xf numFmtId="164" fontId="14" fillId="9" borderId="47" xfId="0" applyNumberFormat="1" applyFont="1" applyFill="1" applyBorder="1" applyAlignment="1">
      <alignment horizontal="center" vertical="center"/>
    </xf>
    <xf numFmtId="0" fontId="14" fillId="9" borderId="40" xfId="0" applyFont="1" applyFill="1" applyBorder="1" applyAlignment="1">
      <alignment horizontal="center" vertical="center"/>
    </xf>
    <xf numFmtId="0" fontId="16" fillId="2" borderId="5" xfId="2" applyFont="1" applyFill="1" applyBorder="1" applyAlignment="1">
      <alignment horizontal="center"/>
    </xf>
    <xf numFmtId="0" fontId="16" fillId="2" borderId="4" xfId="2" applyFont="1" applyFill="1" applyBorder="1" applyAlignment="1">
      <alignment horizontal="center"/>
    </xf>
    <xf numFmtId="0" fontId="16" fillId="2" borderId="3" xfId="2" applyFont="1" applyFill="1" applyBorder="1" applyAlignment="1">
      <alignment horizontal="center"/>
    </xf>
    <xf numFmtId="164" fontId="14" fillId="8" borderId="44" xfId="0" applyNumberFormat="1" applyFont="1" applyFill="1" applyBorder="1" applyAlignment="1">
      <alignment horizontal="center" vertical="center"/>
    </xf>
    <xf numFmtId="164" fontId="14" fillId="8" borderId="24" xfId="0" applyNumberFormat="1" applyFont="1" applyFill="1" applyBorder="1" applyAlignment="1">
      <alignment horizontal="center" vertical="center"/>
    </xf>
    <xf numFmtId="164" fontId="14" fillId="11" borderId="46" xfId="0" applyNumberFormat="1" applyFont="1" applyFill="1" applyBorder="1" applyAlignment="1">
      <alignment horizontal="center" vertical="center"/>
    </xf>
    <xf numFmtId="164" fontId="14" fillId="11" borderId="26" xfId="0" applyNumberFormat="1" applyFont="1" applyFill="1" applyBorder="1" applyAlignment="1">
      <alignment horizontal="center" vertical="center"/>
    </xf>
    <xf numFmtId="164" fontId="14" fillId="11" borderId="45" xfId="0" applyNumberFormat="1" applyFont="1" applyFill="1" applyBorder="1" applyAlignment="1">
      <alignment horizontal="center" vertical="center"/>
    </xf>
    <xf numFmtId="164" fontId="14" fillId="11" borderId="25" xfId="0" applyNumberFormat="1" applyFont="1" applyFill="1" applyBorder="1" applyAlignment="1">
      <alignment horizontal="center" vertical="center"/>
    </xf>
    <xf numFmtId="164" fontId="14" fillId="11" borderId="44" xfId="0" applyNumberFormat="1" applyFont="1" applyFill="1" applyBorder="1" applyAlignment="1">
      <alignment horizontal="center" vertical="center"/>
    </xf>
    <xf numFmtId="164" fontId="14" fillId="11" borderId="24" xfId="0" applyNumberFormat="1" applyFont="1" applyFill="1" applyBorder="1" applyAlignment="1">
      <alignment horizontal="center" vertical="center"/>
    </xf>
    <xf numFmtId="164" fontId="14" fillId="12" borderId="44" xfId="0" applyNumberFormat="1" applyFont="1" applyFill="1" applyBorder="1" applyAlignment="1">
      <alignment horizontal="center" vertical="center"/>
    </xf>
    <xf numFmtId="164" fontId="14" fillId="12" borderId="24" xfId="0" applyNumberFormat="1" applyFont="1" applyFill="1" applyBorder="1" applyAlignment="1">
      <alignment horizontal="center" vertical="center"/>
    </xf>
    <xf numFmtId="164" fontId="14" fillId="9" borderId="44" xfId="0" applyNumberFormat="1" applyFont="1" applyFill="1" applyBorder="1" applyAlignment="1">
      <alignment horizontal="center" vertical="center"/>
    </xf>
    <xf numFmtId="164" fontId="14" fillId="9" borderId="24" xfId="0" applyNumberFormat="1" applyFont="1" applyFill="1" applyBorder="1" applyAlignment="1">
      <alignment horizontal="center" vertical="center"/>
    </xf>
    <xf numFmtId="164" fontId="14" fillId="9" borderId="46" xfId="0" applyNumberFormat="1" applyFont="1" applyFill="1" applyBorder="1" applyAlignment="1">
      <alignment horizontal="center" vertical="center"/>
    </xf>
    <xf numFmtId="164" fontId="14" fillId="9" borderId="26" xfId="0" applyNumberFormat="1" applyFont="1" applyFill="1" applyBorder="1" applyAlignment="1">
      <alignment horizontal="center" vertical="center"/>
    </xf>
    <xf numFmtId="164" fontId="14" fillId="9" borderId="45" xfId="0" applyNumberFormat="1" applyFont="1" applyFill="1" applyBorder="1" applyAlignment="1">
      <alignment horizontal="center" vertical="center"/>
    </xf>
    <xf numFmtId="164" fontId="14" fillId="9" borderId="25" xfId="0" applyNumberFormat="1" applyFont="1" applyFill="1" applyBorder="1" applyAlignment="1">
      <alignment horizontal="center" vertical="center"/>
    </xf>
    <xf numFmtId="164" fontId="14" fillId="8" borderId="46" xfId="0" applyNumberFormat="1" applyFont="1" applyFill="1" applyBorder="1" applyAlignment="1">
      <alignment horizontal="center" vertical="center"/>
    </xf>
    <xf numFmtId="164" fontId="14" fillId="8" borderId="26" xfId="0" applyNumberFormat="1" applyFont="1" applyFill="1" applyBorder="1" applyAlignment="1">
      <alignment horizontal="center" vertical="center"/>
    </xf>
    <xf numFmtId="0" fontId="12" fillId="9" borderId="23" xfId="0" applyFont="1" applyFill="1" applyBorder="1" applyAlignment="1">
      <alignment horizontal="center"/>
    </xf>
    <xf numFmtId="0" fontId="12" fillId="9" borderId="22" xfId="0" applyFont="1" applyFill="1" applyBorder="1" applyAlignment="1">
      <alignment horizontal="center"/>
    </xf>
    <xf numFmtId="0" fontId="12" fillId="9" borderId="21" xfId="0" applyFont="1" applyFill="1" applyBorder="1" applyAlignment="1">
      <alignment horizontal="center"/>
    </xf>
    <xf numFmtId="0" fontId="12" fillId="8" borderId="5" xfId="0" applyFont="1" applyFill="1" applyBorder="1" applyAlignment="1">
      <alignment horizontal="center"/>
    </xf>
    <xf numFmtId="0" fontId="12" fillId="8" borderId="0" xfId="0" applyFont="1" applyFill="1" applyBorder="1" applyAlignment="1">
      <alignment horizontal="center"/>
    </xf>
    <xf numFmtId="0" fontId="12" fillId="12" borderId="5" xfId="0" applyFont="1" applyFill="1" applyBorder="1" applyAlignment="1">
      <alignment horizontal="center"/>
    </xf>
    <xf numFmtId="0" fontId="12" fillId="12" borderId="22" xfId="0" applyFont="1" applyFill="1" applyBorder="1" applyAlignment="1">
      <alignment horizontal="center"/>
    </xf>
    <xf numFmtId="0" fontId="12" fillId="12" borderId="19" xfId="0" applyFont="1" applyFill="1" applyBorder="1" applyAlignment="1">
      <alignment horizontal="center"/>
    </xf>
    <xf numFmtId="0" fontId="12" fillId="12" borderId="0" xfId="0" applyFont="1" applyFill="1" applyBorder="1" applyAlignment="1">
      <alignment horizontal="center"/>
    </xf>
    <xf numFmtId="0" fontId="12" fillId="12" borderId="20" xfId="0" applyFont="1" applyFill="1" applyBorder="1" applyAlignment="1">
      <alignment horizontal="center"/>
    </xf>
    <xf numFmtId="164" fontId="15" fillId="12" borderId="47" xfId="0" applyNumberFormat="1" applyFont="1" applyFill="1" applyBorder="1" applyAlignment="1">
      <alignment horizontal="center" vertical="center"/>
    </xf>
    <xf numFmtId="0" fontId="15" fillId="12" borderId="40" xfId="0" applyFont="1" applyFill="1" applyBorder="1" applyAlignment="1">
      <alignment horizontal="center" vertical="center"/>
    </xf>
    <xf numFmtId="164" fontId="15" fillId="8" borderId="47" xfId="0" applyNumberFormat="1" applyFont="1" applyFill="1" applyBorder="1" applyAlignment="1">
      <alignment horizontal="center" vertical="center"/>
    </xf>
    <xf numFmtId="0" fontId="15" fillId="8" borderId="40" xfId="0" applyFont="1" applyFill="1" applyBorder="1" applyAlignment="1">
      <alignment horizontal="center" vertical="center"/>
    </xf>
    <xf numFmtId="164" fontId="15" fillId="9" borderId="47" xfId="0" applyNumberFormat="1" applyFont="1" applyFill="1" applyBorder="1" applyAlignment="1">
      <alignment horizontal="center" vertical="center"/>
    </xf>
    <xf numFmtId="0" fontId="15" fillId="9" borderId="40" xfId="0" applyFont="1" applyFill="1" applyBorder="1" applyAlignment="1">
      <alignment horizontal="center" vertical="center"/>
    </xf>
    <xf numFmtId="164" fontId="15" fillId="11" borderId="47" xfId="0" applyNumberFormat="1" applyFont="1" applyFill="1" applyBorder="1" applyAlignment="1">
      <alignment horizontal="center" vertical="center"/>
    </xf>
    <xf numFmtId="0" fontId="15" fillId="11" borderId="40" xfId="0" applyFont="1" applyFill="1" applyBorder="1" applyAlignment="1">
      <alignment horizontal="center" vertical="center"/>
    </xf>
    <xf numFmtId="0" fontId="12" fillId="8" borderId="19" xfId="0" applyFont="1" applyFill="1" applyBorder="1" applyAlignment="1">
      <alignment horizontal="center"/>
    </xf>
    <xf numFmtId="0" fontId="12" fillId="8" borderId="20" xfId="0" applyFont="1" applyFill="1" applyBorder="1" applyAlignment="1">
      <alignment horizontal="center"/>
    </xf>
    <xf numFmtId="0" fontId="12" fillId="11" borderId="19" xfId="0" applyFont="1" applyFill="1" applyBorder="1" applyAlignment="1">
      <alignment horizontal="center"/>
    </xf>
    <xf numFmtId="0" fontId="12" fillId="11" borderId="0" xfId="0" applyFont="1" applyFill="1" applyBorder="1" applyAlignment="1">
      <alignment horizontal="center"/>
    </xf>
    <xf numFmtId="0" fontId="12" fillId="11" borderId="20" xfId="0" applyFont="1" applyFill="1" applyBorder="1" applyAlignment="1">
      <alignment horizontal="center"/>
    </xf>
    <xf numFmtId="0" fontId="12" fillId="11" borderId="5" xfId="0" applyFont="1" applyFill="1" applyBorder="1" applyAlignment="1">
      <alignment horizontal="center"/>
    </xf>
    <xf numFmtId="0" fontId="12" fillId="11" borderId="8" xfId="0" applyFont="1" applyFill="1" applyBorder="1" applyAlignment="1">
      <alignment horizontal="center"/>
    </xf>
    <xf numFmtId="0" fontId="19" fillId="10" borderId="55" xfId="0" applyFont="1" applyFill="1" applyBorder="1" applyAlignment="1" applyProtection="1">
      <alignment horizontal="left" vertical="center" wrapText="1"/>
      <protection locked="0"/>
    </xf>
    <xf numFmtId="0" fontId="19" fillId="10" borderId="8" xfId="0" applyFont="1" applyFill="1" applyBorder="1" applyAlignment="1" applyProtection="1">
      <alignment horizontal="left" vertical="center" wrapText="1"/>
      <protection locked="0"/>
    </xf>
    <xf numFmtId="0" fontId="12" fillId="8" borderId="22" xfId="0" applyFont="1" applyFill="1" applyBorder="1" applyAlignment="1">
      <alignment horizontal="center"/>
    </xf>
    <xf numFmtId="0" fontId="26" fillId="15" borderId="62" xfId="0" applyNumberFormat="1" applyFont="1" applyFill="1" applyBorder="1" applyAlignment="1">
      <alignment horizontal="left"/>
    </xf>
    <xf numFmtId="0" fontId="26" fillId="15" borderId="61" xfId="0" applyNumberFormat="1" applyFont="1" applyFill="1" applyBorder="1" applyAlignment="1">
      <alignment horizontal="left"/>
    </xf>
    <xf numFmtId="49" fontId="3" fillId="13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/>
    </xf>
  </cellXfs>
  <cellStyles count="4">
    <cellStyle name="Ausgabe" xfId="2" builtinId="21"/>
    <cellStyle name="Prozent" xfId="1" builtinId="5"/>
    <cellStyle name="Standard" xfId="0" builtinId="0"/>
    <cellStyle name="Zelle überprüfen" xfId="3" builtinId="23"/>
  </cellStyles>
  <dxfs count="3"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1"/>
      </font>
      <fill>
        <patternFill>
          <bgColor theme="5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Classic Call</a:t>
            </a:r>
            <a:r>
              <a:rPr lang="en-US" baseline="0"/>
              <a:t> - </a:t>
            </a:r>
            <a:r>
              <a:rPr lang="en-US"/>
              <a:t>Average POLQA MOS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36609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MASTER!$C$17:$G$17</c:f>
              <c:strCache>
                <c:ptCount val="5"/>
                <c:pt idx="0">
                  <c:v>Operator1</c:v>
                </c:pt>
                <c:pt idx="1">
                  <c:v>Operator2</c:v>
                </c:pt>
                <c:pt idx="2">
                  <c:v>Operator3</c:v>
                </c:pt>
                <c:pt idx="3">
                  <c:v>Low Threshold</c:v>
                </c:pt>
                <c:pt idx="4">
                  <c:v>High Threshold</c:v>
                </c:pt>
              </c:strCache>
            </c:strRef>
          </c:cat>
          <c:val>
            <c:numRef>
              <c:f>MASTER!$C$22:$E$22</c:f>
              <c:numCache>
                <c:formatCode>0.00" [MOS]"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47-4548-BBC6-9BDA3CF186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0"/>
        <c:axId val="157477504"/>
        <c:axId val="153158016"/>
      </c:barChart>
      <c:catAx>
        <c:axId val="15747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3158016"/>
        <c:crosses val="autoZero"/>
        <c:auto val="1"/>
        <c:lblAlgn val="ctr"/>
        <c:lblOffset val="100"/>
        <c:noMultiLvlLbl val="0"/>
      </c:catAx>
      <c:valAx>
        <c:axId val="153158016"/>
        <c:scaling>
          <c:orientation val="minMax"/>
          <c:min val="1"/>
        </c:scaling>
        <c:delete val="1"/>
        <c:axPos val="l"/>
        <c:numFmt formatCode="0.00&quot; [MOS]&quot;" sourceLinked="1"/>
        <c:majorTickMark val="out"/>
        <c:minorTickMark val="none"/>
        <c:tickLblPos val="none"/>
        <c:crossAx val="15747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Classic Call - POLQA</a:t>
            </a:r>
            <a:r>
              <a:rPr lang="en-US" baseline="0"/>
              <a:t> MOS &lt; 1.6 Ratio [%]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36609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MASTER!$C$17:$G$17</c:f>
              <c:strCache>
                <c:ptCount val="5"/>
                <c:pt idx="0">
                  <c:v>Operator1</c:v>
                </c:pt>
                <c:pt idx="1">
                  <c:v>Operator2</c:v>
                </c:pt>
                <c:pt idx="2">
                  <c:v>Operator3</c:v>
                </c:pt>
                <c:pt idx="3">
                  <c:v>Low Threshold</c:v>
                </c:pt>
                <c:pt idx="4">
                  <c:v>High Threshold</c:v>
                </c:pt>
              </c:strCache>
            </c:strRef>
          </c:cat>
          <c:val>
            <c:numRef>
              <c:f>MASTER!$C$20:$E$20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B4-483E-AB1E-9F61BCE644B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0"/>
        <c:axId val="153183744"/>
        <c:axId val="153185280"/>
      </c:barChart>
      <c:catAx>
        <c:axId val="15318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3185280"/>
        <c:crosses val="autoZero"/>
        <c:auto val="1"/>
        <c:lblAlgn val="ctr"/>
        <c:lblOffset val="100"/>
        <c:noMultiLvlLbl val="0"/>
      </c:catAx>
      <c:valAx>
        <c:axId val="153185280"/>
        <c:scaling>
          <c:orientation val="minMax"/>
          <c:max val="0.15000000000000024"/>
          <c:min val="0"/>
        </c:scaling>
        <c:delete val="1"/>
        <c:axPos val="l"/>
        <c:numFmt formatCode="0.00%" sourceLinked="1"/>
        <c:majorTickMark val="none"/>
        <c:minorTickMark val="none"/>
        <c:tickLblPos val="none"/>
        <c:crossAx val="15318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WhatsApp Call </a:t>
            </a:r>
            <a:r>
              <a:rPr lang="en-US" baseline="0"/>
              <a:t>- </a:t>
            </a:r>
            <a:r>
              <a:rPr lang="en-US"/>
              <a:t>Average POLQA MOS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36609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MASTER!$C$17:$G$17</c:f>
              <c:strCache>
                <c:ptCount val="5"/>
                <c:pt idx="0">
                  <c:v>Operator1</c:v>
                </c:pt>
                <c:pt idx="1">
                  <c:v>Operator2</c:v>
                </c:pt>
                <c:pt idx="2">
                  <c:v>Operator3</c:v>
                </c:pt>
                <c:pt idx="3">
                  <c:v>Low Threshold</c:v>
                </c:pt>
                <c:pt idx="4">
                  <c:v>High Threshold</c:v>
                </c:pt>
              </c:strCache>
            </c:strRef>
          </c:cat>
          <c:val>
            <c:numRef>
              <c:f>MASTER!$C$42:$E$42</c:f>
              <c:numCache>
                <c:formatCode>0.00" [MOS]"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62-4F4E-B14A-D8D86BFB92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0"/>
        <c:axId val="153219456"/>
        <c:axId val="153220992"/>
      </c:barChart>
      <c:catAx>
        <c:axId val="15321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3220992"/>
        <c:crosses val="autoZero"/>
        <c:auto val="1"/>
        <c:lblAlgn val="ctr"/>
        <c:lblOffset val="100"/>
        <c:noMultiLvlLbl val="0"/>
      </c:catAx>
      <c:valAx>
        <c:axId val="153220992"/>
        <c:scaling>
          <c:orientation val="minMax"/>
          <c:min val="1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&quot; [MOS]&quot;" sourceLinked="1"/>
        <c:majorTickMark val="out"/>
        <c:minorTickMark val="none"/>
        <c:tickLblPos val="none"/>
        <c:crossAx val="15321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WhatsApp Call - POLQA</a:t>
            </a:r>
            <a:r>
              <a:rPr lang="en-US" baseline="0"/>
              <a:t> MOS &lt; 1.6 Ratio [%]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36609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MASTER!$C$17:$G$17</c:f>
              <c:strCache>
                <c:ptCount val="5"/>
                <c:pt idx="0">
                  <c:v>Operator1</c:v>
                </c:pt>
                <c:pt idx="1">
                  <c:v>Operator2</c:v>
                </c:pt>
                <c:pt idx="2">
                  <c:v>Operator3</c:v>
                </c:pt>
                <c:pt idx="3">
                  <c:v>Low Threshold</c:v>
                </c:pt>
                <c:pt idx="4">
                  <c:v>High Threshold</c:v>
                </c:pt>
              </c:strCache>
            </c:strRef>
          </c:cat>
          <c:val>
            <c:numRef>
              <c:f>MASTER!$C$40:$E$40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81-42BC-B01B-0B01CB6FFB3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0"/>
        <c:axId val="153861120"/>
        <c:axId val="153862912"/>
      </c:barChart>
      <c:catAx>
        <c:axId val="15386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3862912"/>
        <c:crosses val="autoZero"/>
        <c:auto val="1"/>
        <c:lblAlgn val="ctr"/>
        <c:lblOffset val="100"/>
        <c:noMultiLvlLbl val="0"/>
      </c:catAx>
      <c:valAx>
        <c:axId val="153862912"/>
        <c:scaling>
          <c:orientation val="minMax"/>
          <c:max val="0.15000000000000024"/>
          <c:min val="0"/>
        </c:scaling>
        <c:delete val="1"/>
        <c:axPos val="l"/>
        <c:numFmt formatCode="0.00%" sourceLinked="1"/>
        <c:majorTickMark val="none"/>
        <c:minorTickMark val="none"/>
        <c:tickLblPos val="none"/>
        <c:crossAx val="15386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22512</xdr:colOff>
      <xdr:row>16</xdr:row>
      <xdr:rowOff>32655</xdr:rowOff>
    </xdr:from>
    <xdr:to>
      <xdr:col>12</xdr:col>
      <xdr:colOff>605145</xdr:colOff>
      <xdr:row>24</xdr:row>
      <xdr:rowOff>181594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7174</xdr:colOff>
      <xdr:row>25</xdr:row>
      <xdr:rowOff>53685</xdr:rowOff>
    </xdr:from>
    <xdr:to>
      <xdr:col>13</xdr:col>
      <xdr:colOff>171449</xdr:colOff>
      <xdr:row>34</xdr:row>
      <xdr:rowOff>136813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4</xdr:col>
      <xdr:colOff>294410</xdr:colOff>
      <xdr:row>0</xdr:row>
      <xdr:rowOff>69273</xdr:rowOff>
    </xdr:from>
    <xdr:ext cx="2337955" cy="373832"/>
    <xdr:pic>
      <xdr:nvPicPr>
        <xdr:cNvPr id="4" name="Picture 8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2732810" y="69273"/>
          <a:ext cx="2337955" cy="37383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7</xdr:col>
      <xdr:colOff>231322</xdr:colOff>
      <xdr:row>34</xdr:row>
      <xdr:rowOff>326572</xdr:rowOff>
    </xdr:from>
    <xdr:to>
      <xdr:col>13</xdr:col>
      <xdr:colOff>201633</xdr:colOff>
      <xdr:row>43</xdr:row>
      <xdr:rowOff>94511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149679</xdr:colOff>
      <xdr:row>43</xdr:row>
      <xdr:rowOff>244928</xdr:rowOff>
    </xdr:from>
    <xdr:to>
      <xdr:col>13</xdr:col>
      <xdr:colOff>313954</xdr:colOff>
      <xdr:row>59</xdr:row>
      <xdr:rowOff>137556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12</xdr:row>
          <xdr:rowOff>123825</xdr:rowOff>
        </xdr:from>
        <xdr:to>
          <xdr:col>3</xdr:col>
          <xdr:colOff>2495550</xdr:colOff>
          <xdr:row>13</xdr:row>
          <xdr:rowOff>295275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800" b="1" i="0" u="none" strike="noStrike" baseline="0">
                  <a:solidFill>
                    <a:srgbClr val="000000"/>
                  </a:solidFill>
                  <a:latin typeface="Calibri"/>
                </a:rPr>
                <a:t>Apply Selected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85725</xdr:rowOff>
        </xdr:from>
        <xdr:to>
          <xdr:col>4</xdr:col>
          <xdr:colOff>19050</xdr:colOff>
          <xdr:row>1</xdr:row>
          <xdr:rowOff>238125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/>
                </a:rPr>
                <a:t>Initiate Filter Lists / Reset All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12</xdr:row>
          <xdr:rowOff>142875</xdr:rowOff>
        </xdr:from>
        <xdr:to>
          <xdr:col>7</xdr:col>
          <xdr:colOff>781050</xdr:colOff>
          <xdr:row>13</xdr:row>
          <xdr:rowOff>257175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Calibri"/>
                </a:rPr>
                <a:t>CALCULATE KPI-s WITH MANUAL FILTERING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17751</xdr:colOff>
      <xdr:row>0</xdr:row>
      <xdr:rowOff>86590</xdr:rowOff>
    </xdr:from>
    <xdr:ext cx="1171554" cy="363936"/>
    <xdr:pic>
      <xdr:nvPicPr>
        <xdr:cNvPr id="2" name="Picture 8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79751" y="86590"/>
          <a:ext cx="1171554" cy="363936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68035</xdr:rowOff>
    </xdr:from>
    <xdr:ext cx="2337955" cy="373832"/>
    <xdr:pic>
      <xdr:nvPicPr>
        <xdr:cNvPr id="2" name="Picture 8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68035"/>
          <a:ext cx="2337955" cy="37383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0</xdr:row>
          <xdr:rowOff>57150</xdr:rowOff>
        </xdr:from>
        <xdr:to>
          <xdr:col>4</xdr:col>
          <xdr:colOff>1057275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800" b="1" i="0" u="none" strike="noStrike" baseline="0">
                  <a:solidFill>
                    <a:srgbClr val="000000"/>
                  </a:solidFill>
                  <a:latin typeface="Calibri"/>
                </a:rPr>
                <a:t>CALCULATE RANKING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57150</xdr:rowOff>
        </xdr:from>
        <xdr:to>
          <xdr:col>8</xdr:col>
          <xdr:colOff>200025</xdr:colOff>
          <xdr:row>2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800" b="1" i="0" u="none" strike="noStrike" baseline="0">
                  <a:solidFill>
                    <a:srgbClr val="000000"/>
                  </a:solidFill>
                  <a:latin typeface="Calibri"/>
                </a:rPr>
                <a:t>CLEAR RANKING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638175</xdr:colOff>
          <xdr:row>49</xdr:row>
          <xdr:rowOff>66675</xdr:rowOff>
        </xdr:from>
        <xdr:to>
          <xdr:col>7</xdr:col>
          <xdr:colOff>1114425</xdr:colOff>
          <xdr:row>51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800" b="1" i="0" u="none" strike="noStrike" baseline="0">
                  <a:solidFill>
                    <a:srgbClr val="000000"/>
                  </a:solidFill>
                  <a:latin typeface="Calibri"/>
                </a:rPr>
                <a:t>CLEAR CITY RANKING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49</xdr:row>
          <xdr:rowOff>66675</xdr:rowOff>
        </xdr:from>
        <xdr:to>
          <xdr:col>2</xdr:col>
          <xdr:colOff>542925</xdr:colOff>
          <xdr:row>51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800" b="1" i="0" u="none" strike="noStrike" baseline="0">
                  <a:solidFill>
                    <a:srgbClr val="000000"/>
                  </a:solidFill>
                  <a:latin typeface="Calibri"/>
                </a:rPr>
                <a:t>CALCULATE BEST IN CITY 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7</xdr:row>
          <xdr:rowOff>95250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Preview Color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7</xdr:row>
          <xdr:rowOff>104775</xdr:rowOff>
        </xdr:from>
        <xdr:to>
          <xdr:col>7</xdr:col>
          <xdr:colOff>857250</xdr:colOff>
          <xdr:row>10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9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Apply Color Sheme and Operator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10</xdr:row>
          <xdr:rowOff>47625</xdr:rowOff>
        </xdr:from>
        <xdr:to>
          <xdr:col>7</xdr:col>
          <xdr:colOff>857250</xdr:colOff>
          <xdr:row>12</xdr:row>
          <xdr:rowOff>142875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9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Reset All To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2</xdr:row>
          <xdr:rowOff>0</xdr:rowOff>
        </xdr:from>
        <xdr:to>
          <xdr:col>12</xdr:col>
          <xdr:colOff>600075</xdr:colOff>
          <xdr:row>2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9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</a:rPr>
                <a:t>Operator1: Clear Vendor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3</xdr:row>
          <xdr:rowOff>19050</xdr:rowOff>
        </xdr:from>
        <xdr:to>
          <xdr:col>12</xdr:col>
          <xdr:colOff>600075</xdr:colOff>
          <xdr:row>4</xdr:row>
          <xdr:rowOff>9525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9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</a:rPr>
                <a:t>Operator2: Clear Vendor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4</xdr:row>
          <xdr:rowOff>38100</xdr:rowOff>
        </xdr:from>
        <xdr:to>
          <xdr:col>12</xdr:col>
          <xdr:colOff>600075</xdr:colOff>
          <xdr:row>5</xdr:row>
          <xdr:rowOff>28575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9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</a:rPr>
                <a:t>Operator3: Clear Vendor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5</xdr:row>
          <xdr:rowOff>57150</xdr:rowOff>
        </xdr:from>
        <xdr:to>
          <xdr:col>12</xdr:col>
          <xdr:colOff>600075</xdr:colOff>
          <xdr:row>6</xdr:row>
          <xdr:rowOff>47625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9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</a:rPr>
                <a:t>Operator4: Clear Vendor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6</xdr:row>
          <xdr:rowOff>66675</xdr:rowOff>
        </xdr:from>
        <xdr:to>
          <xdr:col>13</xdr:col>
          <xdr:colOff>0</xdr:colOff>
          <xdr:row>7</xdr:row>
          <xdr:rowOff>57150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9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</a:rPr>
                <a:t>Operator5: Clear Vendor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B1:I46"/>
  <sheetViews>
    <sheetView showGridLines="0" tabSelected="1" zoomScale="70" zoomScaleNormal="70" workbookViewId="0">
      <selection activeCell="E18" sqref="E18"/>
    </sheetView>
  </sheetViews>
  <sheetFormatPr baseColWidth="10" defaultColWidth="9.140625" defaultRowHeight="15" x14ac:dyDescent="0.25"/>
  <cols>
    <col min="2" max="2" width="72" customWidth="1"/>
    <col min="3" max="9" width="29.5703125" customWidth="1"/>
  </cols>
  <sheetData>
    <row r="1" spans="2:9" ht="23.45" customHeight="1" x14ac:dyDescent="0.25"/>
    <row r="2" spans="2:9" ht="23.45" customHeight="1" thickBot="1" x14ac:dyDescent="0.3"/>
    <row r="3" spans="2:9" ht="27" customHeight="1" x14ac:dyDescent="0.25">
      <c r="B3" s="289" t="s">
        <v>354</v>
      </c>
      <c r="C3" s="288" t="s">
        <v>353</v>
      </c>
      <c r="D3" s="288" t="s">
        <v>352</v>
      </c>
      <c r="E3" s="288" t="s">
        <v>351</v>
      </c>
      <c r="F3" s="288" t="s">
        <v>350</v>
      </c>
      <c r="G3" s="289" t="s">
        <v>349</v>
      </c>
      <c r="I3" s="289" t="s">
        <v>348</v>
      </c>
    </row>
    <row r="4" spans="2:9" ht="27" customHeight="1" thickBot="1" x14ac:dyDescent="0.3">
      <c r="B4" s="292" t="s">
        <v>302</v>
      </c>
      <c r="C4" s="300" t="s">
        <v>302</v>
      </c>
      <c r="D4" s="299" t="s">
        <v>302</v>
      </c>
      <c r="E4" s="299" t="s">
        <v>302</v>
      </c>
      <c r="F4" s="298" t="s">
        <v>302</v>
      </c>
      <c r="G4" s="297" t="s">
        <v>302</v>
      </c>
      <c r="I4" s="297" t="s">
        <v>302</v>
      </c>
    </row>
    <row r="5" spans="2:9" ht="27" customHeight="1" thickBot="1" x14ac:dyDescent="0.3">
      <c r="B5" s="289" t="s">
        <v>347</v>
      </c>
      <c r="C5" s="288" t="s">
        <v>288</v>
      </c>
      <c r="D5" s="288" t="s">
        <v>346</v>
      </c>
      <c r="E5" s="294" t="s">
        <v>345</v>
      </c>
      <c r="F5" s="294" t="s">
        <v>344</v>
      </c>
      <c r="G5" s="296"/>
      <c r="I5" s="295" t="s">
        <v>343</v>
      </c>
    </row>
    <row r="6" spans="2:9" ht="27" customHeight="1" thickBot="1" x14ac:dyDescent="0.3">
      <c r="B6" s="292" t="s">
        <v>302</v>
      </c>
      <c r="C6" s="292" t="s">
        <v>302</v>
      </c>
      <c r="D6" s="292" t="s">
        <v>302</v>
      </c>
      <c r="E6" s="293" t="s">
        <v>302</v>
      </c>
      <c r="F6" s="293" t="s">
        <v>302</v>
      </c>
    </row>
    <row r="7" spans="2:9" ht="27" customHeight="1" x14ac:dyDescent="0.25">
      <c r="B7" s="289" t="s">
        <v>342</v>
      </c>
      <c r="C7" s="288" t="s">
        <v>284</v>
      </c>
      <c r="D7" s="288" t="s">
        <v>341</v>
      </c>
      <c r="E7" s="294" t="s">
        <v>340</v>
      </c>
      <c r="F7" s="294" t="s">
        <v>339</v>
      </c>
    </row>
    <row r="8" spans="2:9" ht="27" customHeight="1" thickBot="1" x14ac:dyDescent="0.3">
      <c r="B8" s="292" t="s">
        <v>302</v>
      </c>
      <c r="C8" s="292" t="s">
        <v>302</v>
      </c>
      <c r="D8" s="292" t="s">
        <v>302</v>
      </c>
      <c r="E8" s="293" t="s">
        <v>302</v>
      </c>
      <c r="F8" s="293" t="s">
        <v>302</v>
      </c>
    </row>
    <row r="9" spans="2:9" ht="27" customHeight="1" x14ac:dyDescent="0.25">
      <c r="B9" s="289" t="s">
        <v>274</v>
      </c>
      <c r="C9" s="288" t="s">
        <v>272</v>
      </c>
      <c r="D9" s="288" t="s">
        <v>273</v>
      </c>
      <c r="E9" s="288" t="s">
        <v>271</v>
      </c>
      <c r="F9" s="288" t="s">
        <v>270</v>
      </c>
    </row>
    <row r="10" spans="2:9" ht="27" customHeight="1" thickBot="1" x14ac:dyDescent="0.3">
      <c r="B10" s="292" t="s">
        <v>302</v>
      </c>
      <c r="C10" s="292" t="s">
        <v>302</v>
      </c>
      <c r="D10" s="292" t="s">
        <v>302</v>
      </c>
      <c r="E10" s="293" t="s">
        <v>302</v>
      </c>
      <c r="F10" s="293" t="s">
        <v>302</v>
      </c>
    </row>
    <row r="11" spans="2:9" ht="27" customHeight="1" x14ac:dyDescent="0.25">
      <c r="B11" s="289" t="s">
        <v>269</v>
      </c>
      <c r="C11" s="288" t="s">
        <v>268</v>
      </c>
      <c r="D11" s="288" t="s">
        <v>267</v>
      </c>
      <c r="E11" s="288" t="s">
        <v>266</v>
      </c>
      <c r="F11" s="288" t="s">
        <v>265</v>
      </c>
      <c r="G11" s="288" t="s">
        <v>82</v>
      </c>
      <c r="H11" s="289" t="s">
        <v>81</v>
      </c>
    </row>
    <row r="12" spans="2:9" ht="27" customHeight="1" thickBot="1" x14ac:dyDescent="0.3">
      <c r="B12" s="292" t="s">
        <v>302</v>
      </c>
      <c r="C12" s="292" t="s">
        <v>302</v>
      </c>
      <c r="D12" s="292" t="s">
        <v>302</v>
      </c>
      <c r="E12" s="292" t="s">
        <v>302</v>
      </c>
      <c r="F12" s="292" t="s">
        <v>302</v>
      </c>
      <c r="G12" s="292" t="s">
        <v>302</v>
      </c>
      <c r="H12" s="292" t="s">
        <v>302</v>
      </c>
    </row>
    <row r="13" spans="2:9" ht="24" customHeight="1" x14ac:dyDescent="0.25"/>
    <row r="14" spans="2:9" ht="24" customHeight="1" x14ac:dyDescent="0.25"/>
    <row r="15" spans="2:9" ht="24" customHeight="1" thickBot="1" x14ac:dyDescent="0.3"/>
    <row r="16" spans="2:9" ht="21.75" thickBot="1" x14ac:dyDescent="0.3">
      <c r="B16" s="291" t="s">
        <v>338</v>
      </c>
      <c r="C16" s="290"/>
      <c r="D16" s="290"/>
      <c r="E16" s="290"/>
      <c r="F16" s="290"/>
      <c r="G16" s="290"/>
      <c r="H16" s="290"/>
      <c r="I16" s="290"/>
    </row>
    <row r="17" spans="2:7" ht="28.5" thickBot="1" x14ac:dyDescent="0.3">
      <c r="B17" s="289" t="s">
        <v>359</v>
      </c>
      <c r="C17" s="323" t="s">
        <v>361</v>
      </c>
      <c r="D17" s="324" t="s">
        <v>362</v>
      </c>
      <c r="E17" s="321" t="s">
        <v>363</v>
      </c>
      <c r="F17" s="302" t="s">
        <v>70</v>
      </c>
      <c r="G17" s="307" t="s">
        <v>69</v>
      </c>
    </row>
    <row r="18" spans="2:7" ht="30" customHeight="1" x14ac:dyDescent="0.25">
      <c r="B18" s="287" t="s">
        <v>32</v>
      </c>
      <c r="C18" s="312">
        <f t="array" aca="1" ref="C18" ca="1">SUM(SUBTOTAL(3,OFFSET(sO1LQ,ROW(O1LQ)-ROW(sO1LQ),0,1))*IF(O1ST="CALL",1,0))</f>
        <v>0</v>
      </c>
      <c r="D18" s="312">
        <f t="array" aca="1" ref="D18" ca="1">SUM(SUBTOTAL(3,OFFSET(sO2LQ,ROW(O2LQ)-ROW(sO2LQ),0,1))*IF(O2ST="CALL",1,0))</f>
        <v>0</v>
      </c>
      <c r="E18" s="312">
        <f t="array" aca="1" ref="E18" ca="1">SUM(SUBTOTAL(3,OFFSET(sO3LQ,ROW(O3LQ)-ROW(sO3LQ),0,1))*IF(O3ST="CALL",1,0))</f>
        <v>0</v>
      </c>
      <c r="F18" s="303"/>
      <c r="G18" s="308"/>
    </row>
    <row r="19" spans="2:7" ht="30" customHeight="1" x14ac:dyDescent="0.25">
      <c r="B19" s="278" t="s">
        <v>29</v>
      </c>
      <c r="C19" s="285">
        <f t="array" aca="1" ref="C19" ca="1">IF(C18&gt;0,SUMPRODUCT(SUBTOTAL(3,OFFSET(O1LQ,ROW(O1LQ)-ROW(sO1LQ),0,1)),--(O1LQ&lt;=1.6),--(O1ST="CALL")),0)</f>
        <v>0</v>
      </c>
      <c r="D19" s="285">
        <f t="array" aca="1" ref="D19" ca="1">IF(D18&gt;0,SUMPRODUCT(SUBTOTAL(3,OFFSET(O2LQ,ROW(O2LQ)-ROW(sO2LQ),0,1)),--(O2LQ&lt;=1.6),--(O2ST="CALL")),0)</f>
        <v>0</v>
      </c>
      <c r="E19" s="285">
        <f t="array" aca="1" ref="E19" ca="1">IF(E18&gt;0,SUMPRODUCT(SUBTOTAL(3,OFFSET(O3LQ,ROW(O3LQ)-ROW(sO3LQ),0,1)),--(O3LQ&lt;=1.6),--(O3ST="CALL")),0)</f>
        <v>0</v>
      </c>
      <c r="F19" s="304"/>
      <c r="G19" s="309"/>
    </row>
    <row r="20" spans="2:7" ht="30" customHeight="1" x14ac:dyDescent="0.25">
      <c r="B20" s="283" t="s">
        <v>26</v>
      </c>
      <c r="C20" s="284">
        <f ca="1">IF(C18&gt;0,C19/C18,0)</f>
        <v>0</v>
      </c>
      <c r="D20" s="284">
        <f ca="1">IF(D18&gt;0,D19/D18,0)</f>
        <v>0</v>
      </c>
      <c r="E20" s="284">
        <f ca="1">IF(E18&gt;0,E19/E18,0)</f>
        <v>0</v>
      </c>
      <c r="F20" s="313">
        <v>0.1</v>
      </c>
      <c r="G20" s="316">
        <v>0</v>
      </c>
    </row>
    <row r="21" spans="2:7" ht="30" customHeight="1" x14ac:dyDescent="0.25">
      <c r="B21" s="278" t="s">
        <v>337</v>
      </c>
      <c r="C21" s="281">
        <f t="array" aca="1" ref="C21" ca="1">IFERROR(MIN(IF(SUBTOTAL(3,OFFSET(sO1LQ,ROW(O1LQ)-ROW(sO1LQ),0,1)),IF(TRUE,IF(O1ST="CALL",O1LQ,FALSE),FALSE),FALSE)),"")</f>
        <v>0</v>
      </c>
      <c r="D21" s="281">
        <f t="array" aca="1" ref="D21" ca="1">IFERROR(MIN(IF(SUBTOTAL(3,OFFSET(sO2LQ,ROW(O2LQ)-ROW(sO2LQ),0,1)),IF(TRUE,IF(O2ST="CALL",O2LQ,FALSE),FALSE),FALSE)),"")</f>
        <v>0</v>
      </c>
      <c r="E21" s="281">
        <f t="array" aca="1" ref="E21" ca="1">IFERROR(MIN(IF(SUBTOTAL(3,OFFSET(sO3LQ,ROW(O3LQ)-ROW(sO3LQ),0,1)),IF(TRUE,IF(O3ST="CALL",O3LQ,FALSE),FALSE),FALSE)),"")</f>
        <v>0</v>
      </c>
      <c r="F21" s="314"/>
      <c r="G21" s="317"/>
    </row>
    <row r="22" spans="2:7" ht="30" customHeight="1" x14ac:dyDescent="0.25">
      <c r="B22" s="283" t="s">
        <v>336</v>
      </c>
      <c r="C22" s="282" t="str">
        <f t="array" aca="1" ref="C22" ca="1">IFERROR(AVERAGE(IF(SUBTOTAL(3,OFFSET(sO1LQ,ROW(O1LQ)-ROW(sO1LQ),0,1)),IF(TRUE,IF(O1ST="CALL",O1LQ,FALSE),FALSE),FALSE)),"0")</f>
        <v>0</v>
      </c>
      <c r="D22" s="282" t="str">
        <f t="array" aca="1" ref="D22" ca="1">IFERROR(AVERAGE(IF(SUBTOTAL(3,OFFSET(sO2LQ,ROW(O2LQ)-ROW(sO2LQ),0,1)),IF(TRUE,IF(O2ST="CALL",O2LQ,FALSE),FALSE),FALSE)),"0")</f>
        <v>0</v>
      </c>
      <c r="E22" s="282" t="str">
        <f t="array" aca="1" ref="E22" ca="1">IFERROR(AVERAGE(IF(SUBTOTAL(3,OFFSET(sO3LQ,ROW(O3LQ)-ROW(sO3LQ),0,1)),IF(TRUE,IF(O3ST="CALL",O3LQ,FALSE),FALSE),FALSE)),"0")</f>
        <v>0</v>
      </c>
      <c r="F22" s="315">
        <v>2</v>
      </c>
      <c r="G22" s="318">
        <v>4.3</v>
      </c>
    </row>
    <row r="23" spans="2:7" ht="30" customHeight="1" x14ac:dyDescent="0.25">
      <c r="B23" s="278" t="s">
        <v>335</v>
      </c>
      <c r="C23" s="281">
        <f t="array" aca="1" ref="C23" ca="1">IFERROR(MAX(IF(SUBTOTAL(3,OFFSET(sO1LQ,ROW(O1LQ)-ROW(sO1LQ),0,1)),IF(TRUE,IF(O1ST="CALL",O1LQ,FALSE),FALSE),FALSE)),"")</f>
        <v>0</v>
      </c>
      <c r="D23" s="281">
        <f t="array" aca="1" ref="D23" ca="1">IFERROR(MAX(IF(SUBTOTAL(3,OFFSET(sO2LQ,ROW(O2LQ)-ROW(sO2LQ),0,1)),IF(TRUE,IF(O2ST="CALL",O2LQ,FALSE),FALSE),FALSE)),"")</f>
        <v>0</v>
      </c>
      <c r="E23" s="281">
        <f t="array" aca="1" ref="E23" ca="1">IFERROR(MAX(IF(SUBTOTAL(3,OFFSET(sO3LQ,ROW(O3LQ)-ROW(sO3LQ),0,1)),IF(TRUE,IF(O3ST="CALL",O3LQ,FALSE),FALSE),FALSE)),"")</f>
        <v>0</v>
      </c>
      <c r="F23" s="304"/>
      <c r="G23" s="309"/>
    </row>
    <row r="24" spans="2:7" ht="30" customHeight="1" x14ac:dyDescent="0.25">
      <c r="B24" s="278" t="s">
        <v>334</v>
      </c>
      <c r="C24" s="281" t="str">
        <f t="array" aca="1" ref="C24" ca="1">IFERROR(PERCENTILE(IF(SUBTOTAL(3,OFFSET(sO1LQ,ROW(O1LQ)-ROW(sO1LQ),0,1)),IF(TRUE,IF(O1ST="CALL",O1LQ,FALSE),FALSE),FALSE),0.1),"0")</f>
        <v>0</v>
      </c>
      <c r="D24" s="281" t="str">
        <f t="array" aca="1" ref="D24" ca="1">IFERROR(PERCENTILE(IF(SUBTOTAL(3,OFFSET(sO2LQ,ROW(O2LQ)-ROW(sO2LQ),0,1)),IF(TRUE,IF(O2ST="CALL",O2LQ,FALSE),FALSE),FALSE),0.1),"0")</f>
        <v>0</v>
      </c>
      <c r="E24" s="281" t="str">
        <f t="array" aca="1" ref="E24" ca="1">IFERROR(PERCENTILE(IF(SUBTOTAL(3,OFFSET(sO3LQ,ROW(O3LQ)-ROW(sO3LQ),0,1)),IF(TRUE,IF(O3ST="CALL",O3LQ,FALSE),FALSE),FALSE),0.1),"0")</f>
        <v>0</v>
      </c>
      <c r="F24" s="304"/>
      <c r="G24" s="309"/>
    </row>
    <row r="25" spans="2:7" ht="30" customHeight="1" x14ac:dyDescent="0.25">
      <c r="B25" s="278" t="s">
        <v>333</v>
      </c>
      <c r="C25" s="281" t="str">
        <f t="array" aca="1" ref="C25" ca="1">IFERROR(PERCENTILE(IF(SUBTOTAL(3,OFFSET(sO1LQ,ROW(O1LQ)-ROW(sO1LQ),0,1)),IF(TRUE,IF(O1ST="CALL",O1LQ,FALSE),FALSE),FALSE),0.5),"0")</f>
        <v>0</v>
      </c>
      <c r="D25" s="281" t="str">
        <f t="array" aca="1" ref="D25" ca="1">IFERROR(PERCENTILE(IF(SUBTOTAL(3,OFFSET(sO2LQ,ROW(O2LQ)-ROW(sO2LQ),0,1)),IF(TRUE,IF(O2ST="CALL",O2LQ,FALSE),FALSE),FALSE),0.5),"0")</f>
        <v>0</v>
      </c>
      <c r="E25" s="281" t="str">
        <f t="array" aca="1" ref="E25" ca="1">IFERROR(PERCENTILE(IF(SUBTOTAL(3,OFFSET(sO3LQ,ROW(O3LQ)-ROW(sO3LQ),0,1)),IF(TRUE,IF(O3ST="CALL",O3LQ,FALSE),FALSE),FALSE),0.5),"0")</f>
        <v>0</v>
      </c>
      <c r="F25" s="304"/>
      <c r="G25" s="309"/>
    </row>
    <row r="26" spans="2:7" ht="30" customHeight="1" thickBot="1" x14ac:dyDescent="0.3">
      <c r="B26" s="280" t="s">
        <v>332</v>
      </c>
      <c r="C26" s="279" t="str">
        <f t="array" aca="1" ref="C26" ca="1">IFERROR(PERCENTILE(IF(SUBTOTAL(3,OFFSET(sO1LQ,ROW(O1LQ)-ROW(sO1LQ),0,1)),IF(TRUE,IF(O1ST="CALL",O1LQ,FALSE),FALSE),FALSE),0.9),"0")</f>
        <v>0</v>
      </c>
      <c r="D26" s="279" t="str">
        <f t="array" aca="1" ref="D26" ca="1">IFERROR(PERCENTILE(IF(SUBTOTAL(3,OFFSET(sO2LQ,ROW(O2LQ)-ROW(sO2LQ),0,1)),IF(TRUE,IF(O2ST="CALL",O2LQ,FALSE),FALSE),FALSE),0.9),"0")</f>
        <v>0</v>
      </c>
      <c r="E26" s="279" t="str">
        <f t="array" aca="1" ref="E26" ca="1">IFERROR(PERCENTILE(IF(SUBTOTAL(3,OFFSET(sO3LQ,ROW(O3LQ)-ROW(sO3LQ),0,1)),IF(TRUE,IF(O3ST="CALL",O3LQ,FALSE),FALSE),FALSE),0.9),"0")</f>
        <v>0</v>
      </c>
      <c r="F26" s="305"/>
      <c r="G26" s="310"/>
    </row>
    <row r="27" spans="2:7" ht="30" customHeight="1" x14ac:dyDescent="0.25">
      <c r="B27" s="287" t="s">
        <v>331</v>
      </c>
      <c r="C27" s="286">
        <f t="array" ref="C27">SUBTOTAL(103,O1L1LQ)</f>
        <v>0</v>
      </c>
      <c r="D27" s="286">
        <f t="array" ref="D27">SUBTOTAL(103,O2L1LQ)</f>
        <v>0</v>
      </c>
      <c r="E27" s="286">
        <f t="array" ref="E27">SUBTOTAL(103,O3L1LQ)</f>
        <v>0</v>
      </c>
      <c r="F27" s="303"/>
      <c r="G27" s="308"/>
    </row>
    <row r="28" spans="2:7" ht="30" customHeight="1" x14ac:dyDescent="0.25">
      <c r="B28" s="278" t="s">
        <v>357</v>
      </c>
      <c r="C28" s="285">
        <f t="array" aca="1" ref="C28" ca="1">SUMPRODUCT(SUBTOTAL(3,OFFSET(O1L1LQ,ROW(O1L1LQ)-ROW(sO1L1LQ),0,1)),--(O1L1LQ&lt;=1.6))</f>
        <v>0</v>
      </c>
      <c r="D28" s="285">
        <f t="array" aca="1" ref="D28" ca="1">SUMPRODUCT(SUBTOTAL(3,OFFSET(O2L1LQ,ROW(O2L1LQ)-ROW(sO2L1LQ),0,1)),--(O2L1LQ&lt;=1.6))</f>
        <v>0</v>
      </c>
      <c r="E28" s="285">
        <f t="array" aca="1" ref="E28" ca="1">SUMPRODUCT(SUBTOTAL(3,OFFSET(O3L1LQ,ROW(O3L1LQ)-ROW(sO3L1LQ),0,1)),--(O3L1LQ&lt;=1.6))</f>
        <v>0</v>
      </c>
      <c r="F28" s="304"/>
      <c r="G28" s="309"/>
    </row>
    <row r="29" spans="2:7" ht="30" customHeight="1" x14ac:dyDescent="0.25">
      <c r="B29" s="283" t="s">
        <v>358</v>
      </c>
      <c r="C29" s="284">
        <f>IF(C27&gt;0,C28/C27,0)</f>
        <v>0</v>
      </c>
      <c r="D29" s="284">
        <f>IF(D27&gt;0,D28/D27,0)</f>
        <v>0</v>
      </c>
      <c r="E29" s="284">
        <f>IF(E27&gt;0,E28/E27,0)</f>
        <v>0</v>
      </c>
      <c r="F29" s="304"/>
      <c r="G29" s="309"/>
    </row>
    <row r="30" spans="2:7" ht="30" customHeight="1" x14ac:dyDescent="0.25">
      <c r="B30" s="278" t="s">
        <v>330</v>
      </c>
      <c r="C30" s="281">
        <f t="array" ref="C30">IFERROR( SUBTOTAL(5,O1L1LQ),"0")</f>
        <v>0</v>
      </c>
      <c r="D30" s="281">
        <f t="array" ref="D30">IFERROR( SUBTOTAL(5,O2L1LQ),"0")</f>
        <v>0</v>
      </c>
      <c r="E30" s="281">
        <f t="array" ref="E30">IFERROR( SUBTOTAL(5,O3L1LQ),"0")</f>
        <v>0</v>
      </c>
      <c r="F30" s="304"/>
      <c r="G30" s="309"/>
    </row>
    <row r="31" spans="2:7" ht="30" customHeight="1" x14ac:dyDescent="0.25">
      <c r="B31" s="283" t="s">
        <v>329</v>
      </c>
      <c r="C31" s="282" t="str">
        <f t="array" ref="C31">IFERROR( SUBTOTAL(1,O1L1LQ),"0")</f>
        <v>0</v>
      </c>
      <c r="D31" s="282" t="str">
        <f t="array" ref="D31">IFERROR( SUBTOTAL(1,O2L1LQ),"0")</f>
        <v>0</v>
      </c>
      <c r="E31" s="282" t="str">
        <f t="array" ref="E31">IFERROR( SUBTOTAL(1,O3L1LQ),"0")</f>
        <v>0</v>
      </c>
      <c r="F31" s="304"/>
      <c r="G31" s="309"/>
    </row>
    <row r="32" spans="2:7" ht="30" customHeight="1" x14ac:dyDescent="0.25">
      <c r="B32" s="278" t="s">
        <v>328</v>
      </c>
      <c r="C32" s="281">
        <f t="array" ref="C32">IFERROR( SUBTOTAL(4,O1L1LQ),"0")</f>
        <v>0</v>
      </c>
      <c r="D32" s="281">
        <f t="array" ref="D32">IFERROR( SUBTOTAL(4,O2L1LQ),"0")</f>
        <v>0</v>
      </c>
      <c r="E32" s="281">
        <f t="array" ref="E32">IFERROR( SUBTOTAL(4,O3L1LQ),"0")</f>
        <v>0</v>
      </c>
      <c r="F32" s="304"/>
      <c r="G32" s="309"/>
    </row>
    <row r="33" spans="2:7" ht="30" customHeight="1" x14ac:dyDescent="0.25">
      <c r="B33" s="278" t="s">
        <v>327</v>
      </c>
      <c r="C33" s="281" t="str">
        <f t="array" aca="1" ref="C33" ca="1">IFERROR(PERCENTILE(IF(SUBTOTAL(3,OFFSET(O1L1LQ, ROW(O1L1LQ)-ROW(sO1L1LQ),,1)),IF(O1L1LQ&lt;&gt;"",O1L1LQ,FALSE),FALSE), 0.1),"0")</f>
        <v>0</v>
      </c>
      <c r="D33" s="281" t="str">
        <f t="array" aca="1" ref="D33" ca="1">IFERROR(PERCENTILE(IF(SUBTOTAL(3,OFFSET(O2L1LQ, ROW(O2L1LQ)-ROW(sO2L1LQ),,1)),IF(O2L1LQ&lt;&gt;"",O2L1LQ,FALSE),FALSE), 0.1),"0")</f>
        <v>0</v>
      </c>
      <c r="E33" s="281" t="str">
        <f t="array" aca="1" ref="E33" ca="1">IFERROR(PERCENTILE(IF(SUBTOTAL(3,OFFSET(O3L1LQ, ROW(O3L1LQ)-ROW(sO3L1LQ),,1)),IF(O3L1LQ&lt;&gt;"",O3L1LQ,FALSE),FALSE), 0.1),"0")</f>
        <v>0</v>
      </c>
      <c r="F33" s="304"/>
      <c r="G33" s="309"/>
    </row>
    <row r="34" spans="2:7" ht="30" customHeight="1" x14ac:dyDescent="0.25">
      <c r="B34" s="278" t="s">
        <v>326</v>
      </c>
      <c r="C34" s="281" t="str">
        <f t="array" aca="1" ref="C34" ca="1">IFERROR(PERCENTILE(IF(SUBTOTAL(3,OFFSET(O1L1LQ, ROW(O1L1LQ)-ROW(sO1L1LQ),,1)),IF(O1L1LQ&lt;&gt;"",O1L1LQ,FALSE),FALSE), 0.5),"0")</f>
        <v>0</v>
      </c>
      <c r="D34" s="281" t="str">
        <f t="array" aca="1" ref="D34" ca="1">IFERROR(PERCENTILE(IF(SUBTOTAL(3,OFFSET(O2L1LQ, ROW(O2L1LQ)-ROW(sO2L1LQ),,1)),IF(O2L1LQ&lt;&gt;"",O2L1LQ,FALSE),FALSE), 0.5),"0")</f>
        <v>0</v>
      </c>
      <c r="E34" s="281" t="str">
        <f t="array" aca="1" ref="E34" ca="1">IFERROR(PERCENTILE(IF(SUBTOTAL(3,OFFSET(O3L1LQ, ROW(O3L1LQ)-ROW(sO3L1LQ),,1)),IF(O3L1LQ&lt;&gt;"",O3L1LQ,FALSE),FALSE), 0.5),"0")</f>
        <v>0</v>
      </c>
      <c r="F34" s="306"/>
      <c r="G34" s="311"/>
    </row>
    <row r="35" spans="2:7" ht="30" customHeight="1" thickBot="1" x14ac:dyDescent="0.3">
      <c r="B35" s="280" t="s">
        <v>325</v>
      </c>
      <c r="C35" s="279" t="str">
        <f t="array" aca="1" ref="C35" ca="1">IFERROR(PERCENTILE(IF(SUBTOTAL(3,OFFSET(O1L1LQ, ROW(O1L1LQ)-ROW(sO1L1LQ),,1)),IF(O1L1LQ&lt;&gt;"",O1L1LQ,FALSE),FALSE), 0.9),"0")</f>
        <v>0</v>
      </c>
      <c r="D35" s="279" t="str">
        <f t="array" aca="1" ref="D35" ca="1">IFERROR(PERCENTILE(IF(SUBTOTAL(3,OFFSET(O2L1LQ, ROW(O2L1LQ)-ROW(sO2L1LQ),,1)),IF(O2L1LQ&lt;&gt;"",O2L1LQ,FALSE),FALSE), 0.9),"0")</f>
        <v>0</v>
      </c>
      <c r="E35" s="279">
        <f ca="1">IFERROR(PERCENTILE(IF(SUBTOTAL(3,OFFSET(O3L1LQ, ROW(O3L1LQ)-ROW(sO3L1LQ),,1)),IF(O3L1LQ&lt;&gt;"",O3L1LQ,FALSE),FALSE), 0.9),"0")</f>
        <v>0</v>
      </c>
      <c r="F35" s="305"/>
      <c r="G35" s="310"/>
    </row>
    <row r="36" spans="2:7" ht="30" customHeight="1" thickBot="1" x14ac:dyDescent="0.3">
      <c r="B36" s="278" t="s">
        <v>324</v>
      </c>
      <c r="C36" s="277" t="str">
        <f t="array" ref="C36">IFERROR( SUBTOTAL(1,O1L2LQ),"0")</f>
        <v>0</v>
      </c>
      <c r="D36" s="277" t="str">
        <f t="array" ref="D36">IFERROR( SUBTOTAL(1,O2L2LQ),"0")</f>
        <v>0</v>
      </c>
      <c r="E36" s="277" t="str">
        <f t="array" ref="E36">IFERROR( SUBTOTAL(1,O3L2LQ),"0")</f>
        <v>0</v>
      </c>
      <c r="F36" s="304"/>
      <c r="G36" s="309"/>
    </row>
    <row r="37" spans="2:7" ht="28.5" thickBot="1" x14ac:dyDescent="0.3">
      <c r="B37" s="289" t="s">
        <v>360</v>
      </c>
      <c r="C37" s="323" t="s">
        <v>361</v>
      </c>
      <c r="D37" s="324" t="s">
        <v>362</v>
      </c>
      <c r="E37" s="321" t="s">
        <v>363</v>
      </c>
      <c r="F37" s="302" t="s">
        <v>70</v>
      </c>
      <c r="G37" s="307" t="s">
        <v>69</v>
      </c>
    </row>
    <row r="38" spans="2:7" ht="30" customHeight="1" x14ac:dyDescent="0.25">
      <c r="B38" s="287" t="s">
        <v>32</v>
      </c>
      <c r="C38" s="312">
        <f t="array" aca="1" ref="C38" ca="1">SUM(SUBTOTAL(3,OFFSET(sO1LQ,ROW(O1LQ)-ROW(sO1LQ),0,1))*IF(O1ST="WhatsApp CALL",1,0))</f>
        <v>0</v>
      </c>
      <c r="D38" s="312">
        <f t="array" aca="1" ref="D38" ca="1">SUM(SUBTOTAL(3,OFFSET(sO2LQ,ROW(O2LQ)-ROW(sO2LQ),0,1))*IF(O2ST="WhatsApp CALL",1,0))</f>
        <v>0</v>
      </c>
      <c r="E38" s="312">
        <f t="array" aca="1" ref="E38" ca="1">SUM(SUBTOTAL(3,OFFSET(sO3LQ,ROW(O3LQ)-ROW(sO3LQ),0,1))*IF(O3ST="WhatsApp CALL",1,0))</f>
        <v>0</v>
      </c>
      <c r="F38" s="303"/>
      <c r="G38" s="308"/>
    </row>
    <row r="39" spans="2:7" ht="30" customHeight="1" x14ac:dyDescent="0.25">
      <c r="B39" s="278" t="s">
        <v>29</v>
      </c>
      <c r="C39" s="285">
        <f t="array" aca="1" ref="C39" ca="1">IF(C38&gt;0,SUMPRODUCT(SUBTOTAL(3,OFFSET(O1LQ,ROW(O1LQ)-ROW(sO1LQ),0,1)),--(O1LQ&lt;=1.6),--(O1ST="WhatsApp CALL")),0)</f>
        <v>0</v>
      </c>
      <c r="D39" s="285">
        <f t="array" aca="1" ref="D39" ca="1">IF(D38&gt;0,SUMPRODUCT(SUBTOTAL(3,OFFSET(O2LQ,ROW(O2LQ)-ROW(sO2LQ),0,1)),--(O2LQ&lt;=1.6),--(O2ST="WhatsApp CALL")),0)</f>
        <v>0</v>
      </c>
      <c r="E39" s="285">
        <f t="array" aca="1" ref="E39" ca="1">IF(E38&gt;0,SUMPRODUCT(SUBTOTAL(3,OFFSET(O3LQ,ROW(O3LQ)-ROW(sO3LQ),0,1)),--(O3LQ&lt;=1.6),--(O3ST="WhatsApp CALL")),0)</f>
        <v>0</v>
      </c>
      <c r="F39" s="304"/>
      <c r="G39" s="309"/>
    </row>
    <row r="40" spans="2:7" ht="30" customHeight="1" x14ac:dyDescent="0.25">
      <c r="B40" s="283" t="s">
        <v>26</v>
      </c>
      <c r="C40" s="284">
        <f ca="1">IF(C38&gt;0,C39/C38,0)</f>
        <v>0</v>
      </c>
      <c r="D40" s="284">
        <f t="shared" ref="D40:E40" ca="1" si="0">IF(D38&gt;0,D39/D38,0)</f>
        <v>0</v>
      </c>
      <c r="E40" s="284">
        <f t="shared" ca="1" si="0"/>
        <v>0</v>
      </c>
      <c r="F40" s="313">
        <v>0.1</v>
      </c>
      <c r="G40" s="316">
        <v>0</v>
      </c>
    </row>
    <row r="41" spans="2:7" ht="30" customHeight="1" x14ac:dyDescent="0.25">
      <c r="B41" s="278" t="s">
        <v>337</v>
      </c>
      <c r="C41" s="281">
        <f t="array" aca="1" ref="C41" ca="1">IFERROR(MIN(IF(SUBTOTAL(3,OFFSET(sO1LQ,ROW(O1LQ)-ROW(sO1LQ),0,1)),IF(TRUE,IF(O1ST="WhatsApp CALL",O1LQ,FALSE),FALSE),FALSE)),"")</f>
        <v>0</v>
      </c>
      <c r="D41" s="281">
        <f t="array" aca="1" ref="D41" ca="1">IFERROR(MIN(IF(SUBTOTAL(3,OFFSET(sO2LQ,ROW(O2LQ)-ROW(sO2LQ),0,1)),IF(TRUE,IF(O2ST="WhatsApp CALL",O2LQ,FALSE),FALSE),FALSE)),"")</f>
        <v>0</v>
      </c>
      <c r="E41" s="281">
        <f t="array" aca="1" ref="E41" ca="1">IFERROR(MIN(IF(SUBTOTAL(3,OFFSET(sO3LQ,ROW(O3LQ)-ROW(sO3LQ),0,1)),IF(TRUE,IF(O3ST="WhatsApp CALL",O3LQ,FALSE),FALSE),FALSE)),"")</f>
        <v>0</v>
      </c>
      <c r="F41" s="314"/>
      <c r="G41" s="317"/>
    </row>
    <row r="42" spans="2:7" ht="30" customHeight="1" x14ac:dyDescent="0.25">
      <c r="B42" s="283" t="s">
        <v>336</v>
      </c>
      <c r="C42" s="282" t="str">
        <f t="array" aca="1" ref="C42" ca="1">IFERROR(AVERAGE(IF(SUBTOTAL(3,OFFSET(sO1LQ,ROW(O1LQ)-ROW(sO1LQ),0,1)),IF(TRUE,IF(O1ST="WhatsApp CALL",O1LQ,FALSE),FALSE),FALSE)),"0")</f>
        <v>0</v>
      </c>
      <c r="D42" s="282" t="str">
        <f t="array" aca="1" ref="D42" ca="1">IFERROR(AVERAGE(IF(SUBTOTAL(3,OFFSET(sO2LQ,ROW(O2LQ)-ROW(sO2LQ),0,1)),IF(TRUE,IF(O2ST="WhatsApp CALL",O2LQ,FALSE),FALSE),FALSE)),"0")</f>
        <v>0</v>
      </c>
      <c r="E42" s="282" t="str">
        <f t="array" aca="1" ref="E42" ca="1">IFERROR(AVERAGE(IF(SUBTOTAL(3,OFFSET(sO3LQ,ROW(O3LQ)-ROW(sO3LQ),0,1)),IF(TRUE,IF(O3ST="WhatsApp CALL",O3LQ,FALSE),FALSE),FALSE)),"0")</f>
        <v>0</v>
      </c>
      <c r="F42" s="315">
        <v>2</v>
      </c>
      <c r="G42" s="318">
        <v>4.3</v>
      </c>
    </row>
    <row r="43" spans="2:7" ht="30" customHeight="1" x14ac:dyDescent="0.25">
      <c r="B43" s="278" t="s">
        <v>335</v>
      </c>
      <c r="C43" s="281">
        <f t="array" aca="1" ref="C43" ca="1">IFERROR(MAX(IF(SUBTOTAL(3,OFFSET(sO1LQ,ROW(O1LQ)-ROW(sO1LQ),0,1)),IF(TRUE,IF(O1ST="WhatsApp CALL",O1LQ,FALSE),FALSE),FALSE)),"")</f>
        <v>0</v>
      </c>
      <c r="D43" s="281">
        <f t="array" aca="1" ref="D43" ca="1">IFERROR(MAX(IF(SUBTOTAL(3,OFFSET(sO2LQ,ROW(O2LQ)-ROW(sO2LQ),0,1)),IF(TRUE,IF(O2ST="WhatsApp CALL",O2LQ,FALSE),FALSE),FALSE)),"")</f>
        <v>0</v>
      </c>
      <c r="E43" s="281">
        <f t="array" aca="1" ref="E43" ca="1">IFERROR(MAX(IF(SUBTOTAL(3,OFFSET(sO3LQ,ROW(O3LQ)-ROW(sO3LQ),0,1)),IF(TRUE,IF(O3ST="WhatsApp CALL",O3LQ,FALSE),FALSE),FALSE)),"")</f>
        <v>0</v>
      </c>
      <c r="F43" s="304"/>
      <c r="G43" s="309"/>
    </row>
    <row r="44" spans="2:7" ht="30" customHeight="1" x14ac:dyDescent="0.25">
      <c r="B44" s="278" t="s">
        <v>334</v>
      </c>
      <c r="C44" s="281" t="str">
        <f t="array" aca="1" ref="C44" ca="1">IFERROR(PERCENTILE(IF(SUBTOTAL(3,OFFSET(sO1LQ,ROW(O1LQ)-ROW(sO1LQ),0,1)),IF(TRUE,IF(O1ST="WhatsApp CALL",O1LQ,FALSE),FALSE),FALSE),0.1),"0")</f>
        <v>0</v>
      </c>
      <c r="D44" s="281" t="str">
        <f t="array" aca="1" ref="D44" ca="1">IFERROR(PERCENTILE(IF(SUBTOTAL(3,OFFSET(sO2LQ,ROW(O2LQ)-ROW(sO2LQ),0,1)),IF(TRUE,IF(O2ST="WhatsApp CALL",O2LQ,FALSE),FALSE),FALSE),0.1),"0")</f>
        <v>0</v>
      </c>
      <c r="E44" s="281" t="str">
        <f t="array" aca="1" ref="E44" ca="1">IFERROR(PERCENTILE(IF(SUBTOTAL(3,OFFSET(sO3LQ,ROW(O3LQ)-ROW(sO3LQ),0,1)),IF(TRUE,IF(O3ST="WhatsApp CALL",O3LQ,FALSE),FALSE),FALSE),0.1),"0")</f>
        <v>0</v>
      </c>
      <c r="F44" s="304"/>
      <c r="G44" s="309"/>
    </row>
    <row r="45" spans="2:7" ht="30" customHeight="1" x14ac:dyDescent="0.25">
      <c r="B45" s="278" t="s">
        <v>333</v>
      </c>
      <c r="C45" s="281" t="str">
        <f t="array" aca="1" ref="C45" ca="1">IFERROR(PERCENTILE(IF(SUBTOTAL(3,OFFSET(sO1LQ,ROW(O1LQ)-ROW(sO1LQ),0,1)),IF(TRUE,IF(O1ST="WhatsApp CALL",O1LQ,FALSE),FALSE),FALSE),0.5),"0")</f>
        <v>0</v>
      </c>
      <c r="D45" s="281" t="str">
        <f t="array" aca="1" ref="D45" ca="1">IFERROR(PERCENTILE(IF(SUBTOTAL(3,OFFSET(sO2LQ,ROW(O2LQ)-ROW(sO2LQ),0,1)),IF(TRUE,IF(O2ST="WhatsApp CALL",O2LQ,FALSE),FALSE),FALSE),0.5),"0")</f>
        <v>0</v>
      </c>
      <c r="E45" s="281" t="str">
        <f t="array" aca="1" ref="E45" ca="1">IFERROR(PERCENTILE(IF(SUBTOTAL(3,OFFSET(sO3LQ,ROW(O3LQ)-ROW(sO3LQ),0,1)),IF(TRUE,IF(O3ST="WhatsApp CALL",O3LQ,FALSE),FALSE),FALSE),0.5),"0")</f>
        <v>0</v>
      </c>
      <c r="F45" s="304"/>
      <c r="G45" s="309"/>
    </row>
    <row r="46" spans="2:7" ht="30" customHeight="1" thickBot="1" x14ac:dyDescent="0.3">
      <c r="B46" s="280" t="s">
        <v>332</v>
      </c>
      <c r="C46" s="279" t="str">
        <f t="array" aca="1" ref="C46" ca="1">IFERROR(PERCENTILE(IF(SUBTOTAL(3,OFFSET(sO1LQ,ROW(O1LQ)-ROW(sO1LQ),0,1)),IF(TRUE,IF(O1ST="WhatsApp CALL",O1LQ,FALSE),FALSE),FALSE),0.9),"0")</f>
        <v>0</v>
      </c>
      <c r="D46" s="279" t="str">
        <f t="array" aca="1" ref="D46" ca="1">IFERROR(PERCENTILE(IF(SUBTOTAL(3,OFFSET(sO2LQ,ROW(O2LQ)-ROW(sO2LQ),0,1)),IF(TRUE,IF(O2ST="WhatsApp CALL",O2LQ,FALSE),FALSE),FALSE),0.9),"0")</f>
        <v>0</v>
      </c>
      <c r="E46" s="279" t="str">
        <f t="array" aca="1" ref="E46" ca="1">IFERROR(PERCENTILE(IF(SUBTOTAL(3,OFFSET(sO3LQ,ROW(O3LQ)-ROW(sO3LQ),0,1)),IF(TRUE,IF(O3ST="WhatsApp CALL",O3LQ,FALSE),FALSE),FALSE),0.9),"0")</f>
        <v>0</v>
      </c>
      <c r="F46" s="305"/>
      <c r="G46" s="310"/>
    </row>
  </sheetData>
  <conditionalFormatting sqref="B4:G4 B6:F6 B8:F8 B10:F10 B12:H12 I5">
    <cfRule type="cellIs" dxfId="2" priority="5" operator="notEqual">
      <formula>$I$4</formula>
    </cfRule>
  </conditionalFormatting>
  <conditionalFormatting sqref="C20:E20">
    <cfRule type="iconSet" priority="4">
      <iconSet reverse="1">
        <cfvo type="percent" val="0"/>
        <cfvo type="num" val="$G$20"/>
        <cfvo type="num" val="$F$20"/>
      </iconSet>
    </cfRule>
  </conditionalFormatting>
  <conditionalFormatting sqref="C22:E22">
    <cfRule type="iconSet" priority="3">
      <iconSet>
        <cfvo type="percent" val="0"/>
        <cfvo type="num" val="$F$22"/>
        <cfvo type="num" val="$G$22"/>
      </iconSet>
    </cfRule>
  </conditionalFormatting>
  <conditionalFormatting sqref="C40:E40">
    <cfRule type="iconSet" priority="2">
      <iconSet reverse="1">
        <cfvo type="percent" val="0"/>
        <cfvo type="num" val="$G$20"/>
        <cfvo type="num" val="$F$20"/>
      </iconSet>
    </cfRule>
  </conditionalFormatting>
  <conditionalFormatting sqref="C42:E42">
    <cfRule type="iconSet" priority="1">
      <iconSet>
        <cfvo type="percent" val="0"/>
        <cfvo type="num" val="$F$22"/>
        <cfvo type="num" val="$G$22"/>
      </iconSet>
    </cfRule>
  </conditionalFormatting>
  <dataValidations disablePrompts="1" count="28">
    <dataValidation type="list" allowBlank="1" showInputMessage="1" showErrorMessage="1" sqref="B4" xr:uid="{00000000-0002-0000-0000-000000000000}">
      <formula1>lists1</formula1>
    </dataValidation>
    <dataValidation type="list" allowBlank="1" showInputMessage="1" showErrorMessage="1" sqref="C4" xr:uid="{00000000-0002-0000-0000-000001000000}">
      <formula1>lists2</formula1>
    </dataValidation>
    <dataValidation type="list" allowBlank="1" showInputMessage="1" showErrorMessage="1" sqref="D4" xr:uid="{00000000-0002-0000-0000-000002000000}">
      <formula1>lists3</formula1>
    </dataValidation>
    <dataValidation type="list" allowBlank="1" showInputMessage="1" showErrorMessage="1" sqref="E4" xr:uid="{00000000-0002-0000-0000-000003000000}">
      <formula1>lists4</formula1>
    </dataValidation>
    <dataValidation type="list" allowBlank="1" showInputMessage="1" showErrorMessage="1" sqref="F4" xr:uid="{00000000-0002-0000-0000-000004000000}">
      <formula1>lists5</formula1>
    </dataValidation>
    <dataValidation type="list" allowBlank="1" showInputMessage="1" showErrorMessage="1" sqref="G4" xr:uid="{00000000-0002-0000-0000-000005000000}">
      <formula1>lists6</formula1>
    </dataValidation>
    <dataValidation type="list" allowBlank="1" showInputMessage="1" showErrorMessage="1" sqref="B6" xr:uid="{00000000-0002-0000-0000-000006000000}">
      <formula1>lists7</formula1>
    </dataValidation>
    <dataValidation type="list" allowBlank="1" showInputMessage="1" showErrorMessage="1" sqref="C6" xr:uid="{00000000-0002-0000-0000-000007000000}">
      <formula1>lists8</formula1>
    </dataValidation>
    <dataValidation type="list" allowBlank="1" showInputMessage="1" showErrorMessage="1" sqref="D6" xr:uid="{00000000-0002-0000-0000-000008000000}">
      <formula1>lists9</formula1>
    </dataValidation>
    <dataValidation type="list" allowBlank="1" showInputMessage="1" showErrorMessage="1" sqref="E6" xr:uid="{00000000-0002-0000-0000-000009000000}">
      <formula1>lists10</formula1>
    </dataValidation>
    <dataValidation type="list" allowBlank="1" showInputMessage="1" showErrorMessage="1" sqref="F6" xr:uid="{00000000-0002-0000-0000-00000A000000}">
      <formula1>lists11</formula1>
    </dataValidation>
    <dataValidation type="list" allowBlank="1" showInputMessage="1" showErrorMessage="1" sqref="B8" xr:uid="{00000000-0002-0000-0000-00000B000000}">
      <formula1>lists12</formula1>
    </dataValidation>
    <dataValidation type="list" allowBlank="1" showInputMessage="1" showErrorMessage="1" sqref="C8" xr:uid="{00000000-0002-0000-0000-00000C000000}">
      <formula1>lists13</formula1>
    </dataValidation>
    <dataValidation type="list" allowBlank="1" showInputMessage="1" showErrorMessage="1" sqref="D8" xr:uid="{00000000-0002-0000-0000-00000D000000}">
      <formula1>lists14</formula1>
    </dataValidation>
    <dataValidation type="list" allowBlank="1" showInputMessage="1" showErrorMessage="1" sqref="E8" xr:uid="{00000000-0002-0000-0000-00000E000000}">
      <formula1>lists15</formula1>
    </dataValidation>
    <dataValidation type="list" allowBlank="1" showInputMessage="1" showErrorMessage="1" sqref="F8" xr:uid="{00000000-0002-0000-0000-00000F000000}">
      <formula1>lists16</formula1>
    </dataValidation>
    <dataValidation type="list" allowBlank="1" showInputMessage="1" showErrorMessage="1" sqref="B10" xr:uid="{00000000-0002-0000-0000-000010000000}">
      <formula1>lists17</formula1>
    </dataValidation>
    <dataValidation type="list" allowBlank="1" showInputMessage="1" showErrorMessage="1" sqref="D10" xr:uid="{00000000-0002-0000-0000-000011000000}">
      <formula1>lists18</formula1>
    </dataValidation>
    <dataValidation type="list" allowBlank="1" showInputMessage="1" showErrorMessage="1" sqref="C10" xr:uid="{00000000-0002-0000-0000-000012000000}">
      <formula1>lists19</formula1>
    </dataValidation>
    <dataValidation type="list" allowBlank="1" showInputMessage="1" showErrorMessage="1" sqref="E10" xr:uid="{00000000-0002-0000-0000-000013000000}">
      <formula1>lists20</formula1>
    </dataValidation>
    <dataValidation type="list" allowBlank="1" showInputMessage="1" showErrorMessage="1" sqref="F10" xr:uid="{00000000-0002-0000-0000-000014000000}">
      <formula1>lists21</formula1>
    </dataValidation>
    <dataValidation type="list" allowBlank="1" showInputMessage="1" showErrorMessage="1" sqref="B12" xr:uid="{00000000-0002-0000-0000-000015000000}">
      <formula1>lists22</formula1>
    </dataValidation>
    <dataValidation type="list" allowBlank="1" showInputMessage="1" showErrorMessage="1" sqref="C12" xr:uid="{00000000-0002-0000-0000-000016000000}">
      <formula1>lists23</formula1>
    </dataValidation>
    <dataValidation type="list" allowBlank="1" showInputMessage="1" showErrorMessage="1" sqref="D12" xr:uid="{00000000-0002-0000-0000-000017000000}">
      <formula1>lists24</formula1>
    </dataValidation>
    <dataValidation type="list" allowBlank="1" showInputMessage="1" showErrorMessage="1" sqref="E12" xr:uid="{00000000-0002-0000-0000-000018000000}">
      <formula1>lists25</formula1>
    </dataValidation>
    <dataValidation type="list" allowBlank="1" showInputMessage="1" showErrorMessage="1" sqref="F12" xr:uid="{00000000-0002-0000-0000-000019000000}">
      <formula1>lists26</formula1>
    </dataValidation>
    <dataValidation type="list" allowBlank="1" showInputMessage="1" showErrorMessage="1" sqref="G12" xr:uid="{00000000-0002-0000-0000-00001A000000}">
      <formula1>lists27</formula1>
    </dataValidation>
    <dataValidation type="list" allowBlank="1" showInputMessage="1" showErrorMessage="1" sqref="H12" xr:uid="{00000000-0002-0000-0000-00001B000000}">
      <formula1>lists28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pplyFilter">
                <anchor moveWithCells="1" sizeWithCells="1">
                  <from>
                    <xdr:col>0</xdr:col>
                    <xdr:colOff>742950</xdr:colOff>
                    <xdr:row>12</xdr:row>
                    <xdr:rowOff>123825</xdr:rowOff>
                  </from>
                  <to>
                    <xdr:col>3</xdr:col>
                    <xdr:colOff>2495550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itLists">
                <anchor moveWithCells="1" sizeWithCells="1">
                  <from>
                    <xdr:col>1</xdr:col>
                    <xdr:colOff>19050</xdr:colOff>
                    <xdr:row>0</xdr:row>
                    <xdr:rowOff>85725</xdr:rowOff>
                  </from>
                  <to>
                    <xdr:col>4</xdr:col>
                    <xdr:colOff>19050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calculateKPIs">
                <anchor moveWithCells="1">
                  <from>
                    <xdr:col>4</xdr:col>
                    <xdr:colOff>142875</xdr:colOff>
                    <xdr:row>12</xdr:row>
                    <xdr:rowOff>142875</xdr:rowOff>
                  </from>
                  <to>
                    <xdr:col>7</xdr:col>
                    <xdr:colOff>781050</xdr:colOff>
                    <xdr:row>13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3:K26"/>
  <sheetViews>
    <sheetView showGridLines="0" zoomScale="55" zoomScaleNormal="55" zoomScaleSheetLayoutView="70" workbookViewId="0">
      <selection activeCell="F9" sqref="F9"/>
    </sheetView>
  </sheetViews>
  <sheetFormatPr baseColWidth="10" defaultColWidth="11.42578125" defaultRowHeight="15" x14ac:dyDescent="0.25"/>
  <cols>
    <col min="1" max="1" width="3.5703125" customWidth="1"/>
    <col min="2" max="2" width="59.28515625" customWidth="1"/>
    <col min="3" max="5" width="34.140625" customWidth="1"/>
    <col min="6" max="6" width="101.28515625" customWidth="1"/>
    <col min="7" max="7" width="44.28515625" bestFit="1" customWidth="1"/>
    <col min="8" max="8" width="32.85546875" style="1" customWidth="1"/>
    <col min="9" max="9" width="31.28515625" customWidth="1"/>
    <col min="10" max="10" width="3.5703125" customWidth="1"/>
  </cols>
  <sheetData>
    <row r="3" spans="1:11" ht="15.75" thickBot="1" x14ac:dyDescent="0.3"/>
    <row r="4" spans="1:11" ht="52.5" customHeight="1" thickBot="1" x14ac:dyDescent="0.3">
      <c r="A4" s="327" t="s">
        <v>61</v>
      </c>
      <c r="B4" s="328"/>
      <c r="C4" s="328"/>
      <c r="D4" s="328"/>
      <c r="E4" s="328"/>
      <c r="F4" s="328"/>
      <c r="G4" s="328"/>
      <c r="H4" s="328"/>
      <c r="I4" s="328"/>
      <c r="J4" s="329"/>
    </row>
    <row r="5" spans="1:11" ht="11.25" customHeight="1" thickBot="1" x14ac:dyDescent="0.3">
      <c r="A5" s="43" t="s">
        <v>60</v>
      </c>
      <c r="B5" s="33"/>
      <c r="C5" s="33"/>
      <c r="D5" s="33"/>
      <c r="E5" s="33"/>
      <c r="F5" s="33"/>
      <c r="G5" s="33"/>
      <c r="H5" s="42"/>
      <c r="I5" s="33"/>
      <c r="J5" s="33"/>
      <c r="K5" s="33"/>
    </row>
    <row r="6" spans="1:11" s="35" customFormat="1" ht="30" customHeight="1" x14ac:dyDescent="0.25">
      <c r="A6" s="41"/>
      <c r="B6" s="330" t="s">
        <v>59</v>
      </c>
      <c r="C6" s="331"/>
      <c r="D6" s="331"/>
      <c r="E6" s="331"/>
      <c r="F6" s="331"/>
      <c r="G6" s="331"/>
      <c r="H6" s="331"/>
      <c r="I6" s="332"/>
      <c r="J6" s="36"/>
      <c r="K6" s="36"/>
    </row>
    <row r="7" spans="1:11" s="35" customFormat="1" ht="30" customHeight="1" thickBot="1" x14ac:dyDescent="0.3">
      <c r="A7" s="41"/>
      <c r="B7" s="40" t="s">
        <v>58</v>
      </c>
      <c r="C7" s="39" t="s">
        <v>57</v>
      </c>
      <c r="D7" s="39" t="s">
        <v>56</v>
      </c>
      <c r="E7" s="39" t="s">
        <v>55</v>
      </c>
      <c r="F7" s="39" t="s">
        <v>54</v>
      </c>
      <c r="G7" s="39" t="s">
        <v>53</v>
      </c>
      <c r="H7" s="38" t="s">
        <v>52</v>
      </c>
      <c r="I7" s="37" t="s">
        <v>51</v>
      </c>
      <c r="J7" s="36"/>
      <c r="K7" s="36"/>
    </row>
    <row r="8" spans="1:11" ht="110.25" customHeight="1" x14ac:dyDescent="0.25">
      <c r="A8" s="34"/>
      <c r="B8" s="32" t="s">
        <v>32</v>
      </c>
      <c r="C8" s="31" t="s">
        <v>50</v>
      </c>
      <c r="D8" s="31" t="s">
        <v>24</v>
      </c>
      <c r="E8" s="30" t="s">
        <v>2</v>
      </c>
      <c r="F8" s="29" t="s">
        <v>49</v>
      </c>
      <c r="G8" s="28" t="s">
        <v>0</v>
      </c>
      <c r="H8" s="27" t="s">
        <v>0</v>
      </c>
      <c r="I8" s="26" t="s">
        <v>0</v>
      </c>
      <c r="J8" s="33"/>
      <c r="K8" s="33"/>
    </row>
    <row r="9" spans="1:11" ht="110.25" customHeight="1" x14ac:dyDescent="0.25">
      <c r="A9" s="34"/>
      <c r="B9" s="25" t="s">
        <v>29</v>
      </c>
      <c r="C9" s="21" t="s">
        <v>48</v>
      </c>
      <c r="D9" s="21" t="s">
        <v>24</v>
      </c>
      <c r="E9" s="20" t="s">
        <v>2</v>
      </c>
      <c r="F9" s="24" t="s">
        <v>47</v>
      </c>
      <c r="G9" s="18" t="s">
        <v>0</v>
      </c>
      <c r="H9" s="17" t="s">
        <v>0</v>
      </c>
      <c r="I9" s="16" t="s">
        <v>0</v>
      </c>
      <c r="J9" s="33"/>
      <c r="K9" s="33"/>
    </row>
    <row r="10" spans="1:11" ht="110.25" customHeight="1" x14ac:dyDescent="0.25">
      <c r="A10" s="34"/>
      <c r="B10" s="25" t="s">
        <v>26</v>
      </c>
      <c r="C10" s="21" t="s">
        <v>46</v>
      </c>
      <c r="D10" s="21" t="s">
        <v>24</v>
      </c>
      <c r="E10" s="20" t="s">
        <v>2</v>
      </c>
      <c r="F10" s="24" t="s">
        <v>45</v>
      </c>
      <c r="G10" s="18" t="s">
        <v>0</v>
      </c>
      <c r="H10" s="17" t="s">
        <v>0</v>
      </c>
      <c r="I10" s="16" t="s">
        <v>0</v>
      </c>
      <c r="J10" s="33"/>
      <c r="K10" s="33"/>
    </row>
    <row r="11" spans="1:11" ht="110.25" customHeight="1" x14ac:dyDescent="0.25">
      <c r="A11" s="34"/>
      <c r="B11" s="25" t="s">
        <v>22</v>
      </c>
      <c r="C11" s="21" t="s">
        <v>44</v>
      </c>
      <c r="D11" s="21" t="s">
        <v>3</v>
      </c>
      <c r="E11" s="20" t="s">
        <v>2</v>
      </c>
      <c r="F11" s="24" t="s">
        <v>43</v>
      </c>
      <c r="G11" s="18" t="s">
        <v>0</v>
      </c>
      <c r="H11" s="17" t="s">
        <v>0</v>
      </c>
      <c r="I11" s="16" t="s">
        <v>0</v>
      </c>
      <c r="J11" s="33"/>
      <c r="K11" s="33"/>
    </row>
    <row r="12" spans="1:11" ht="110.25" customHeight="1" x14ac:dyDescent="0.25">
      <c r="A12" s="34"/>
      <c r="B12" s="25" t="s">
        <v>5</v>
      </c>
      <c r="C12" s="21" t="s">
        <v>42</v>
      </c>
      <c r="D12" s="21" t="s">
        <v>3</v>
      </c>
      <c r="E12" s="20" t="s">
        <v>2</v>
      </c>
      <c r="F12" s="24" t="s">
        <v>41</v>
      </c>
      <c r="G12" s="18" t="s">
        <v>0</v>
      </c>
      <c r="H12" s="17" t="s">
        <v>0</v>
      </c>
      <c r="I12" s="16" t="s">
        <v>0</v>
      </c>
      <c r="J12" s="33"/>
      <c r="K12" s="33"/>
    </row>
    <row r="13" spans="1:11" ht="110.25" customHeight="1" x14ac:dyDescent="0.25">
      <c r="A13" s="34"/>
      <c r="B13" s="25" t="s">
        <v>17</v>
      </c>
      <c r="C13" s="21" t="s">
        <v>40</v>
      </c>
      <c r="D13" s="21" t="s">
        <v>3</v>
      </c>
      <c r="E13" s="20" t="s">
        <v>2</v>
      </c>
      <c r="F13" s="24" t="s">
        <v>39</v>
      </c>
      <c r="G13" s="18" t="s">
        <v>0</v>
      </c>
      <c r="H13" s="17" t="s">
        <v>0</v>
      </c>
      <c r="I13" s="16" t="s">
        <v>0</v>
      </c>
      <c r="J13" s="33"/>
      <c r="K13" s="33"/>
    </row>
    <row r="14" spans="1:11" ht="110.25" customHeight="1" x14ac:dyDescent="0.25">
      <c r="A14" s="34"/>
      <c r="B14" s="23" t="s">
        <v>14</v>
      </c>
      <c r="C14" s="22" t="s">
        <v>38</v>
      </c>
      <c r="D14" s="21" t="s">
        <v>3</v>
      </c>
      <c r="E14" s="20" t="s">
        <v>2</v>
      </c>
      <c r="F14" s="19" t="s">
        <v>37</v>
      </c>
      <c r="G14" s="18" t="s">
        <v>0</v>
      </c>
      <c r="H14" s="17" t="s">
        <v>0</v>
      </c>
      <c r="I14" s="16" t="s">
        <v>0</v>
      </c>
      <c r="J14" s="33"/>
      <c r="K14" s="33"/>
    </row>
    <row r="15" spans="1:11" ht="110.25" customHeight="1" x14ac:dyDescent="0.25">
      <c r="A15" s="34"/>
      <c r="B15" s="23" t="s">
        <v>11</v>
      </c>
      <c r="C15" s="22" t="s">
        <v>36</v>
      </c>
      <c r="D15" s="21" t="s">
        <v>3</v>
      </c>
      <c r="E15" s="20" t="s">
        <v>2</v>
      </c>
      <c r="F15" s="19" t="s">
        <v>35</v>
      </c>
      <c r="G15" s="18" t="s">
        <v>0</v>
      </c>
      <c r="H15" s="17" t="s">
        <v>0</v>
      </c>
      <c r="I15" s="16" t="s">
        <v>0</v>
      </c>
      <c r="J15" s="33"/>
      <c r="K15" s="33"/>
    </row>
    <row r="16" spans="1:11" ht="110.25" customHeight="1" thickBot="1" x14ac:dyDescent="0.3">
      <c r="A16" s="34"/>
      <c r="B16" s="15" t="s">
        <v>8</v>
      </c>
      <c r="C16" s="14" t="s">
        <v>34</v>
      </c>
      <c r="D16" s="14" t="s">
        <v>3</v>
      </c>
      <c r="E16" s="13" t="s">
        <v>2</v>
      </c>
      <c r="F16" s="12" t="s">
        <v>33</v>
      </c>
      <c r="G16" s="11" t="s">
        <v>0</v>
      </c>
      <c r="H16" s="10" t="s">
        <v>0</v>
      </c>
      <c r="I16" s="9" t="s">
        <v>0</v>
      </c>
      <c r="J16" s="33"/>
      <c r="K16" s="33"/>
    </row>
    <row r="17" spans="2:9" ht="110.25" customHeight="1" x14ac:dyDescent="0.25">
      <c r="B17" s="32" t="s">
        <v>32</v>
      </c>
      <c r="C17" s="31" t="s">
        <v>31</v>
      </c>
      <c r="D17" s="31" t="s">
        <v>24</v>
      </c>
      <c r="E17" s="30" t="s">
        <v>2</v>
      </c>
      <c r="F17" s="29" t="s">
        <v>30</v>
      </c>
      <c r="G17" s="28" t="s">
        <v>0</v>
      </c>
      <c r="H17" s="27" t="s">
        <v>0</v>
      </c>
      <c r="I17" s="26" t="s">
        <v>0</v>
      </c>
    </row>
    <row r="18" spans="2:9" ht="110.25" customHeight="1" x14ac:dyDescent="0.25">
      <c r="B18" s="25" t="s">
        <v>29</v>
      </c>
      <c r="C18" s="21" t="s">
        <v>28</v>
      </c>
      <c r="D18" s="21" t="s">
        <v>24</v>
      </c>
      <c r="E18" s="20" t="s">
        <v>2</v>
      </c>
      <c r="F18" s="24" t="s">
        <v>27</v>
      </c>
      <c r="G18" s="18" t="s">
        <v>0</v>
      </c>
      <c r="H18" s="17" t="s">
        <v>0</v>
      </c>
      <c r="I18" s="16" t="s">
        <v>0</v>
      </c>
    </row>
    <row r="19" spans="2:9" ht="110.25" customHeight="1" x14ac:dyDescent="0.25">
      <c r="B19" s="25" t="s">
        <v>26</v>
      </c>
      <c r="C19" s="21" t="s">
        <v>25</v>
      </c>
      <c r="D19" s="21" t="s">
        <v>24</v>
      </c>
      <c r="E19" s="20" t="s">
        <v>2</v>
      </c>
      <c r="F19" s="24" t="s">
        <v>23</v>
      </c>
      <c r="G19" s="18" t="s">
        <v>0</v>
      </c>
      <c r="H19" s="17" t="s">
        <v>0</v>
      </c>
      <c r="I19" s="16" t="s">
        <v>0</v>
      </c>
    </row>
    <row r="20" spans="2:9" ht="110.25" customHeight="1" x14ac:dyDescent="0.25">
      <c r="B20" s="25" t="s">
        <v>22</v>
      </c>
      <c r="C20" s="21" t="s">
        <v>21</v>
      </c>
      <c r="D20" s="21" t="s">
        <v>3</v>
      </c>
      <c r="E20" s="20" t="s">
        <v>2</v>
      </c>
      <c r="F20" s="24" t="s">
        <v>20</v>
      </c>
      <c r="G20" s="18" t="s">
        <v>0</v>
      </c>
      <c r="H20" s="17" t="s">
        <v>0</v>
      </c>
      <c r="I20" s="16" t="s">
        <v>0</v>
      </c>
    </row>
    <row r="21" spans="2:9" ht="110.25" customHeight="1" x14ac:dyDescent="0.25">
      <c r="B21" s="25" t="s">
        <v>5</v>
      </c>
      <c r="C21" s="21" t="s">
        <v>19</v>
      </c>
      <c r="D21" s="21" t="s">
        <v>3</v>
      </c>
      <c r="E21" s="20" t="s">
        <v>2</v>
      </c>
      <c r="F21" s="24" t="s">
        <v>18</v>
      </c>
      <c r="G21" s="18" t="s">
        <v>0</v>
      </c>
      <c r="H21" s="17" t="s">
        <v>0</v>
      </c>
      <c r="I21" s="16" t="s">
        <v>0</v>
      </c>
    </row>
    <row r="22" spans="2:9" ht="110.25" customHeight="1" x14ac:dyDescent="0.25">
      <c r="B22" s="25" t="s">
        <v>17</v>
      </c>
      <c r="C22" s="21" t="s">
        <v>16</v>
      </c>
      <c r="D22" s="21" t="s">
        <v>3</v>
      </c>
      <c r="E22" s="20" t="s">
        <v>2</v>
      </c>
      <c r="F22" s="24" t="s">
        <v>15</v>
      </c>
      <c r="G22" s="18" t="s">
        <v>0</v>
      </c>
      <c r="H22" s="17" t="s">
        <v>0</v>
      </c>
      <c r="I22" s="16" t="s">
        <v>0</v>
      </c>
    </row>
    <row r="23" spans="2:9" ht="110.25" customHeight="1" x14ac:dyDescent="0.25">
      <c r="B23" s="23" t="s">
        <v>14</v>
      </c>
      <c r="C23" s="22" t="s">
        <v>13</v>
      </c>
      <c r="D23" s="21" t="s">
        <v>3</v>
      </c>
      <c r="E23" s="20" t="s">
        <v>2</v>
      </c>
      <c r="F23" s="19" t="s">
        <v>12</v>
      </c>
      <c r="G23" s="18" t="s">
        <v>0</v>
      </c>
      <c r="H23" s="17" t="s">
        <v>0</v>
      </c>
      <c r="I23" s="16" t="s">
        <v>0</v>
      </c>
    </row>
    <row r="24" spans="2:9" ht="110.25" customHeight="1" x14ac:dyDescent="0.25">
      <c r="B24" s="23" t="s">
        <v>11</v>
      </c>
      <c r="C24" s="22" t="s">
        <v>10</v>
      </c>
      <c r="D24" s="21" t="s">
        <v>3</v>
      </c>
      <c r="E24" s="20" t="s">
        <v>2</v>
      </c>
      <c r="F24" s="19" t="s">
        <v>9</v>
      </c>
      <c r="G24" s="18" t="s">
        <v>0</v>
      </c>
      <c r="H24" s="17" t="s">
        <v>0</v>
      </c>
      <c r="I24" s="16" t="s">
        <v>0</v>
      </c>
    </row>
    <row r="25" spans="2:9" ht="110.25" customHeight="1" thickBot="1" x14ac:dyDescent="0.3">
      <c r="B25" s="15" t="s">
        <v>8</v>
      </c>
      <c r="C25" s="14" t="s">
        <v>7</v>
      </c>
      <c r="D25" s="14" t="s">
        <v>3</v>
      </c>
      <c r="E25" s="13" t="s">
        <v>2</v>
      </c>
      <c r="F25" s="12" t="s">
        <v>6</v>
      </c>
      <c r="G25" s="11" t="s">
        <v>0</v>
      </c>
      <c r="H25" s="10" t="s">
        <v>0</v>
      </c>
      <c r="I25" s="9" t="s">
        <v>0</v>
      </c>
    </row>
    <row r="26" spans="2:9" ht="110.25" customHeight="1" thickBot="1" x14ac:dyDescent="0.3">
      <c r="B26" s="8" t="s">
        <v>5</v>
      </c>
      <c r="C26" s="7" t="s">
        <v>4</v>
      </c>
      <c r="D26" s="7" t="s">
        <v>3</v>
      </c>
      <c r="E26" s="6" t="s">
        <v>2</v>
      </c>
      <c r="F26" s="5" t="s">
        <v>1</v>
      </c>
      <c r="G26" s="4" t="s">
        <v>0</v>
      </c>
      <c r="H26" s="3" t="s">
        <v>0</v>
      </c>
      <c r="I26" s="2" t="s">
        <v>0</v>
      </c>
    </row>
  </sheetData>
  <sheetProtection selectLockedCells="1" selectUnlockedCells="1"/>
  <mergeCells count="2">
    <mergeCell ref="A4:J4"/>
    <mergeCell ref="B6:I6"/>
  </mergeCells>
  <pageMargins left="0.7" right="0.7" top="0.78740157499999996" bottom="0.78740157499999996" header="0.3" footer="0.3"/>
  <pageSetup paperSize="9" scale="2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4:XFD65"/>
  <sheetViews>
    <sheetView showGridLines="0" topLeftCell="A23" zoomScale="70" zoomScaleNormal="70" workbookViewId="0">
      <selection activeCell="U27" sqref="U27"/>
    </sheetView>
  </sheetViews>
  <sheetFormatPr baseColWidth="10" defaultColWidth="9.140625" defaultRowHeight="15" x14ac:dyDescent="0.25"/>
  <cols>
    <col min="1" max="1" width="45.28515625" customWidth="1"/>
    <col min="2" max="4" width="17.42578125" style="45" customWidth="1"/>
    <col min="5" max="6" width="17.42578125" style="45" hidden="1" customWidth="1"/>
    <col min="7" max="9" width="21.140625" style="44" customWidth="1"/>
    <col min="10" max="12" width="17.42578125" customWidth="1"/>
    <col min="13" max="14" width="17.42578125" hidden="1" customWidth="1"/>
  </cols>
  <sheetData>
    <row r="4" spans="1:14" ht="28.5" thickBot="1" x14ac:dyDescent="0.3">
      <c r="A4" s="239" t="s">
        <v>80</v>
      </c>
      <c r="B4" s="123"/>
      <c r="C4" s="123"/>
      <c r="D4" s="123"/>
      <c r="E4" s="123"/>
      <c r="F4" s="123"/>
      <c r="G4" s="123"/>
      <c r="H4" s="123"/>
      <c r="I4" s="122">
        <f t="shared" ref="I4:N4" si="0">I7+I12+I17+I22</f>
        <v>50</v>
      </c>
      <c r="J4" s="121">
        <f t="shared" si="0"/>
        <v>0</v>
      </c>
      <c r="K4" s="121">
        <f t="shared" si="0"/>
        <v>0</v>
      </c>
      <c r="L4" s="121">
        <f t="shared" si="0"/>
        <v>0</v>
      </c>
      <c r="M4" s="121">
        <f t="shared" si="0"/>
        <v>0</v>
      </c>
      <c r="N4" s="121">
        <f t="shared" si="0"/>
        <v>0</v>
      </c>
    </row>
    <row r="5" spans="1:14" ht="21.75" thickBot="1" x14ac:dyDescent="0.4">
      <c r="A5" s="205"/>
      <c r="B5" s="347" t="s">
        <v>73</v>
      </c>
      <c r="C5" s="348"/>
      <c r="D5" s="348"/>
      <c r="E5" s="348"/>
      <c r="F5" s="349"/>
      <c r="G5" s="347" t="s">
        <v>72</v>
      </c>
      <c r="H5" s="348"/>
      <c r="I5" s="349"/>
      <c r="J5" s="347" t="s">
        <v>71</v>
      </c>
      <c r="K5" s="348"/>
      <c r="L5" s="348"/>
      <c r="M5" s="348"/>
      <c r="N5" s="349"/>
    </row>
    <row r="6" spans="1:14" ht="21.75" thickBot="1" x14ac:dyDescent="0.4">
      <c r="A6" s="44"/>
      <c r="B6" s="119" t="str">
        <f>MASTER!C17</f>
        <v>Operator1</v>
      </c>
      <c r="C6" s="119" t="str">
        <f>MASTER!D17</f>
        <v>Operator2</v>
      </c>
      <c r="D6" s="119" t="str">
        <f>MASTER!E17</f>
        <v>Operator3</v>
      </c>
      <c r="E6" s="119" t="s">
        <v>79</v>
      </c>
      <c r="F6" s="119" t="s">
        <v>78</v>
      </c>
      <c r="G6" s="118" t="s">
        <v>70</v>
      </c>
      <c r="H6" s="118" t="s">
        <v>69</v>
      </c>
      <c r="I6" s="118" t="s">
        <v>68</v>
      </c>
      <c r="J6" s="117" t="str">
        <f>B6</f>
        <v>Operator1</v>
      </c>
      <c r="K6" s="117" t="str">
        <f>C6</f>
        <v>Operator2</v>
      </c>
      <c r="L6" s="117" t="str">
        <f>D6</f>
        <v>Operator3</v>
      </c>
      <c r="M6" s="117" t="str">
        <f>E6</f>
        <v>Operator 4</v>
      </c>
      <c r="N6" s="117" t="str">
        <f>F6</f>
        <v>Operator 5</v>
      </c>
    </row>
    <row r="7" spans="1:14" ht="24" customHeight="1" thickBot="1" x14ac:dyDescent="0.35">
      <c r="A7" s="368" t="s">
        <v>67</v>
      </c>
      <c r="B7" s="369"/>
      <c r="C7" s="369"/>
      <c r="D7" s="369"/>
      <c r="E7" s="369"/>
      <c r="F7" s="370"/>
      <c r="G7" s="116"/>
      <c r="H7" s="115"/>
      <c r="I7" s="382">
        <f t="shared" ref="I7:N7" si="1">SUM(I9:I11)</f>
        <v>25</v>
      </c>
      <c r="J7" s="362">
        <f t="shared" si="1"/>
        <v>0</v>
      </c>
      <c r="K7" s="364">
        <f t="shared" si="1"/>
        <v>0</v>
      </c>
      <c r="L7" s="364">
        <f t="shared" si="1"/>
        <v>0</v>
      </c>
      <c r="M7" s="364">
        <f t="shared" si="1"/>
        <v>0</v>
      </c>
      <c r="N7" s="360">
        <f t="shared" si="1"/>
        <v>0</v>
      </c>
    </row>
    <row r="8" spans="1:14" ht="21" customHeight="1" thickBot="1" x14ac:dyDescent="0.3">
      <c r="A8" s="114" t="s">
        <v>65</v>
      </c>
      <c r="B8" s="113"/>
      <c r="C8" s="111"/>
      <c r="D8" s="112"/>
      <c r="E8" s="111"/>
      <c r="F8" s="111"/>
      <c r="G8" s="110"/>
      <c r="H8" s="109"/>
      <c r="I8" s="383"/>
      <c r="J8" s="363"/>
      <c r="K8" s="365"/>
      <c r="L8" s="365"/>
      <c r="M8" s="365"/>
      <c r="N8" s="361"/>
    </row>
    <row r="9" spans="1:14" ht="21" x14ac:dyDescent="0.35">
      <c r="A9" s="108" t="s">
        <v>64</v>
      </c>
      <c r="B9" s="107"/>
      <c r="C9" s="105"/>
      <c r="D9" s="106"/>
      <c r="E9" s="105"/>
      <c r="F9" s="105"/>
      <c r="G9" s="104">
        <v>2</v>
      </c>
      <c r="H9" s="103">
        <v>4.3</v>
      </c>
      <c r="I9" s="102">
        <v>8.75</v>
      </c>
      <c r="J9" s="96">
        <f>IF(B8 &gt; 0,IF(B9&lt;=G9,0,IF(B9&gt;=H9,I9,I9*(B9-G9)/(H9-G9))),0)</f>
        <v>0</v>
      </c>
      <c r="K9" s="95">
        <f>IF(C8 &gt; 0,IF(C9&lt;=G9,0,IF(C9&gt;=H9,I9,I9*(C9-G9)/(H9-G9))),0)</f>
        <v>0</v>
      </c>
      <c r="L9" s="95">
        <f>IF(D8&gt;0,IF(D9&lt;=G9,0,IF(D9&gt;=H9,I9,I9*(D9-G9)/(H9-G9))),0)</f>
        <v>0</v>
      </c>
      <c r="M9" s="95">
        <f>IF(E8&gt;0,IF(E9&lt;=G9,0,IF(E9&gt;=H9,I9,I9*(E9-G9)/(H9-G9))),0)</f>
        <v>0</v>
      </c>
      <c r="N9" s="101">
        <f>IF(F8&gt;0,IF(F9&lt;=G9,0,IF(F9&gt;=H9,I9,I9*(F9-G9)/(H9-G9))),0)</f>
        <v>0</v>
      </c>
    </row>
    <row r="10" spans="1:14" ht="21" x14ac:dyDescent="0.35">
      <c r="A10" s="92" t="s">
        <v>63</v>
      </c>
      <c r="B10" s="100"/>
      <c r="C10" s="99"/>
      <c r="D10" s="99"/>
      <c r="E10" s="99"/>
      <c r="F10" s="99"/>
      <c r="G10" s="98">
        <v>0.1</v>
      </c>
      <c r="H10" s="97">
        <v>0</v>
      </c>
      <c r="I10" s="86">
        <v>11.25</v>
      </c>
      <c r="J10" s="96">
        <f>IF(B8 &gt; 0,IF(B10&gt;=G10,0,IF(B10&lt;=H10,I10,I10*(B10-G10)/(H10-G10))),0)</f>
        <v>0</v>
      </c>
      <c r="K10" s="95">
        <f>IF(C8 &gt; 0,IF(C10&gt;=G10,0,IF(C10&lt;=H10,I10,I10*(C10-G10)/(H10-G10))),0)</f>
        <v>0</v>
      </c>
      <c r="L10" s="95">
        <f>IF(D8&gt;0,IF(D10&gt;=G10,0,IF(D10&lt;=H10,I10,I10*(D10-G10)/(H10-G10))),0)</f>
        <v>0</v>
      </c>
      <c r="M10" s="94">
        <f>IF(E8&gt;0,IF(E10&gt;=G10,0,IF(E10&lt;=H10,I10,I10*(E10-G10)/(H10-G10))),0)</f>
        <v>0</v>
      </c>
      <c r="N10" s="93">
        <f>IF(F8&gt;0,IF(F10&gt;=G10,0,IF(F10&lt;=H10,I10,I10*(F10-G10)/(H10-G10))),0)</f>
        <v>0</v>
      </c>
    </row>
    <row r="11" spans="1:14" ht="21.75" thickBot="1" x14ac:dyDescent="0.4">
      <c r="A11" s="92" t="s">
        <v>62</v>
      </c>
      <c r="B11" s="91"/>
      <c r="C11" s="89"/>
      <c r="D11" s="90"/>
      <c r="E11" s="89"/>
      <c r="F11" s="89"/>
      <c r="G11" s="88">
        <v>4</v>
      </c>
      <c r="H11" s="87">
        <v>4.75</v>
      </c>
      <c r="I11" s="86">
        <v>5</v>
      </c>
      <c r="J11" s="85">
        <f>IF(B8 &gt; 0,IF(B11&lt;=G11,0,IF(B11&gt;=H11,I11,I11*(B11-G11)/(H11-G11))),0)</f>
        <v>0</v>
      </c>
      <c r="K11" s="84">
        <f>IF(C8 &gt; 0,IF(C11&lt;=G11,0,IF(C11&gt;=H11,I11,I11*(C11-G11)/(H11-G11))),0)</f>
        <v>0</v>
      </c>
      <c r="L11" s="84">
        <f>IF(D8&gt;0,IF(D11&lt;=G11,0,IF(D11&gt;=H11,I11,I11*(D11-G11)/(H11-G11))),0)</f>
        <v>0</v>
      </c>
      <c r="M11" s="83">
        <f>IF(E8&gt;0,IF(E11&lt;=G11,0,IF(E11&gt;=H11,I11,I11*(E11-G11)/(H11-G11))),0)</f>
        <v>0</v>
      </c>
      <c r="N11" s="82">
        <f>IF(F8&gt;0,IF(F11&lt;=G11,0,IF(F11&gt;=H11,I11,I11*(F11-G11)/(H11-G11))),0)</f>
        <v>0</v>
      </c>
    </row>
    <row r="12" spans="1:14" ht="24" customHeight="1" thickBot="1" x14ac:dyDescent="0.35">
      <c r="A12" s="373" t="s">
        <v>76</v>
      </c>
      <c r="B12" s="374"/>
      <c r="C12" s="374"/>
      <c r="D12" s="374"/>
      <c r="E12" s="374"/>
      <c r="F12" s="374"/>
      <c r="G12" s="238"/>
      <c r="H12" s="238"/>
      <c r="I12" s="378">
        <f t="shared" ref="I12:N12" si="2">SUM(I14:I16)</f>
        <v>7.5</v>
      </c>
      <c r="J12" s="341">
        <f t="shared" si="2"/>
        <v>0</v>
      </c>
      <c r="K12" s="343">
        <f t="shared" si="2"/>
        <v>0</v>
      </c>
      <c r="L12" s="343">
        <f t="shared" si="2"/>
        <v>0</v>
      </c>
      <c r="M12" s="343">
        <f t="shared" si="2"/>
        <v>0</v>
      </c>
      <c r="N12" s="358">
        <f t="shared" si="2"/>
        <v>0</v>
      </c>
    </row>
    <row r="13" spans="1:14" ht="21" customHeight="1" thickBot="1" x14ac:dyDescent="0.3">
      <c r="A13" s="237" t="s">
        <v>65</v>
      </c>
      <c r="B13" s="193"/>
      <c r="C13" s="191"/>
      <c r="D13" s="191"/>
      <c r="E13" s="191"/>
      <c r="F13" s="236"/>
      <c r="G13" s="189"/>
      <c r="H13" s="189"/>
      <c r="I13" s="379"/>
      <c r="J13" s="342"/>
      <c r="K13" s="344"/>
      <c r="L13" s="344"/>
      <c r="M13" s="344"/>
      <c r="N13" s="359"/>
    </row>
    <row r="14" spans="1:14" ht="21" x14ac:dyDescent="0.35">
      <c r="A14" s="235" t="s">
        <v>64</v>
      </c>
      <c r="B14" s="234"/>
      <c r="C14" s="186"/>
      <c r="D14" s="186"/>
      <c r="E14" s="186"/>
      <c r="F14" s="233"/>
      <c r="G14" s="232">
        <v>2</v>
      </c>
      <c r="H14" s="184">
        <v>4.3</v>
      </c>
      <c r="I14" s="231">
        <v>2.625</v>
      </c>
      <c r="J14" s="182">
        <f>IF(B8 &gt; 0,IF(B14&lt;=G14,0,IF(B14&gt;=H14,I14,I14*(B14-G14)/(H14-G14))),0)</f>
        <v>0</v>
      </c>
      <c r="K14" s="181">
        <f>IF(C8 &gt; 0,IF(C14&lt;=G14,0,IF(C14&gt;=H14,I14,I14*(C14-G14)/(H14-G14))),0)</f>
        <v>0</v>
      </c>
      <c r="L14" s="181">
        <f>IF(D8&gt;0,IF(D14&lt;=G14,0,IF(D14&gt;=H14,I14,I14*(D14-G14)/(H14-G14))),0)</f>
        <v>0</v>
      </c>
      <c r="M14" s="181">
        <f>IF(E8&gt;0,IF(E14&lt;=G14,0,IF(E14&gt;=H14,I14,I14*(E14-G14)/(H14-G14))),0)</f>
        <v>0</v>
      </c>
      <c r="N14" s="180">
        <f>IF(F8&gt;0,IF(F14&lt;=G14,0,IF(F14&gt;=H14,I14,I14*(F14-G14)/(H14-G14))),0)</f>
        <v>0</v>
      </c>
    </row>
    <row r="15" spans="1:14" ht="21" x14ac:dyDescent="0.35">
      <c r="A15" s="227" t="s">
        <v>63</v>
      </c>
      <c r="B15" s="230"/>
      <c r="C15" s="178"/>
      <c r="D15" s="178"/>
      <c r="E15" s="178"/>
      <c r="F15" s="229"/>
      <c r="G15" s="228">
        <v>0.1</v>
      </c>
      <c r="H15" s="176">
        <v>0</v>
      </c>
      <c r="I15" s="222">
        <v>3.375</v>
      </c>
      <c r="J15" s="169">
        <f>IF(B8 &gt; 0,IF(B15&gt;=G15,0,IF(B15&lt;=H15,I15,I15*(B15-G15)/(H15-G15))),0)</f>
        <v>0</v>
      </c>
      <c r="K15" s="168">
        <f>IF(C8 &gt; 0,IF(C15&gt;=G15,0,IF(C15&lt;=H15,I15,I15*(C15-G15)/(H15-G15))),0)</f>
        <v>0</v>
      </c>
      <c r="L15" s="168">
        <f>IF(D8&gt;0,IF(D15&gt;=G15,0,IF(D15&lt;=H15,I15,I15*(D15-G15)/(H15-G15))),0)</f>
        <v>0</v>
      </c>
      <c r="M15" s="168">
        <f>IF(E8&gt;0,IF(E15&gt;=G15,0,IF(E15&lt;=H15,I15,I15*(E15-G15)/(H15-G15))),0)</f>
        <v>0</v>
      </c>
      <c r="N15" s="167">
        <f>IF(F8&gt;0,IF(F15&gt;=G15,0,IF(F15&lt;=H15,I15,I15*(F15-G15)/(H15-G15))),0)</f>
        <v>0</v>
      </c>
    </row>
    <row r="16" spans="1:14" ht="21.75" thickBot="1" x14ac:dyDescent="0.4">
      <c r="A16" s="227" t="s">
        <v>62</v>
      </c>
      <c r="B16" s="226"/>
      <c r="C16" s="225"/>
      <c r="D16" s="225"/>
      <c r="E16" s="225"/>
      <c r="F16" s="224"/>
      <c r="G16" s="223">
        <v>4</v>
      </c>
      <c r="H16" s="171">
        <v>4.75</v>
      </c>
      <c r="I16" s="222">
        <v>1.5</v>
      </c>
      <c r="J16" s="221">
        <f>IF(B8 &gt; 0,IF(B16&lt;=G16,0,IF(B16&gt;=H16,I16,I16*(B16-G16)/(H16-G16))),0)</f>
        <v>0</v>
      </c>
      <c r="K16" s="220">
        <f>IF(C8 &gt; 0,IF(C16&lt;=G16,0,IF(C16&gt;=H16,I16,I16*(C16-G16)/(H16-G16))),0)</f>
        <v>0</v>
      </c>
      <c r="L16" s="220">
        <f>IF(D8&gt;0,IF(D16&lt;=G16,0,IF(D16&gt;=H16,I16,I16*(D16-G16)/(H16-G16))),0)</f>
        <v>0</v>
      </c>
      <c r="M16" s="220">
        <f>IF(E8&gt;0,IF(E16&lt;=G16,0,IF(E16&gt;=H16,I16,I16*(E16-G16)/(H16-G16))),0)</f>
        <v>0</v>
      </c>
      <c r="N16" s="219">
        <f>IF(F8&gt;0,IF(F16&lt;=G16,0,IF(F16&gt;=H16,I16,I16*(F16-G16)/(H16-G16))),0)</f>
        <v>0</v>
      </c>
    </row>
    <row r="17" spans="1:16384" ht="24" customHeight="1" thickBot="1" x14ac:dyDescent="0.35">
      <c r="A17" s="371" t="s">
        <v>66</v>
      </c>
      <c r="B17" s="372"/>
      <c r="C17" s="372"/>
      <c r="D17" s="372"/>
      <c r="E17" s="372"/>
      <c r="F17" s="372"/>
      <c r="G17" s="81"/>
      <c r="H17" s="81"/>
      <c r="I17" s="380">
        <f t="shared" ref="I17:N17" si="3">SUM(I19:I21)</f>
        <v>12.5</v>
      </c>
      <c r="J17" s="366">
        <f t="shared" si="3"/>
        <v>0</v>
      </c>
      <c r="K17" s="339">
        <f t="shared" si="3"/>
        <v>0</v>
      </c>
      <c r="L17" s="339">
        <f t="shared" si="3"/>
        <v>0</v>
      </c>
      <c r="M17" s="339">
        <f t="shared" si="3"/>
        <v>0</v>
      </c>
      <c r="N17" s="350">
        <f t="shared" si="3"/>
        <v>0</v>
      </c>
    </row>
    <row r="18" spans="1:16384" ht="21" customHeight="1" thickBot="1" x14ac:dyDescent="0.3">
      <c r="A18" s="80" t="s">
        <v>65</v>
      </c>
      <c r="B18" s="79"/>
      <c r="C18" s="78"/>
      <c r="D18" s="78"/>
      <c r="E18" s="78"/>
      <c r="F18" s="77"/>
      <c r="G18" s="76"/>
      <c r="H18" s="76"/>
      <c r="I18" s="381"/>
      <c r="J18" s="367"/>
      <c r="K18" s="340"/>
      <c r="L18" s="340"/>
      <c r="M18" s="340"/>
      <c r="N18" s="351"/>
    </row>
    <row r="19" spans="1:16384" ht="21" x14ac:dyDescent="0.35">
      <c r="A19" s="75" t="s">
        <v>64</v>
      </c>
      <c r="B19" s="74"/>
      <c r="C19" s="73"/>
      <c r="D19" s="73"/>
      <c r="E19" s="73"/>
      <c r="F19" s="72"/>
      <c r="G19" s="71">
        <v>2</v>
      </c>
      <c r="H19" s="70">
        <v>4.3</v>
      </c>
      <c r="I19" s="69">
        <v>4.375</v>
      </c>
      <c r="J19" s="68">
        <f>IF(B8 &gt; 0,IF(B19&lt;=G19,0,IF(B19&gt;=H19,I19,I19*(B19-G19)/(H19-G19))),0)</f>
        <v>0</v>
      </c>
      <c r="K19" s="67">
        <f>IF(C8 &gt; 0,IF(C19&lt;=G19,0,IF(C19&gt;=H19,I19,I19*(C19-G19)/(H19-G19))),0)</f>
        <v>0</v>
      </c>
      <c r="L19" s="67">
        <f>IF(D8&gt;0,IF(D19&lt;=G19,0,IF(D19&gt;=H19,I19,I19*(D19-G19)/(H19-G19))),0)</f>
        <v>0</v>
      </c>
      <c r="M19" s="67">
        <f>IF(E8&gt;0,IF(E19&lt;=G19,0,IF(E19&gt;=H19,I19,I19*(E19-G19)/(H19-G19))),0)</f>
        <v>0</v>
      </c>
      <c r="N19" s="66">
        <f>IF(F8&gt;0,IF(F19&lt;=G19,0,IF(F19&gt;=H19,I19,I19*(F19-G19)/(H19-G19))),0)</f>
        <v>0</v>
      </c>
    </row>
    <row r="20" spans="1:16384" ht="21" x14ac:dyDescent="0.35">
      <c r="A20" s="65" t="s">
        <v>63</v>
      </c>
      <c r="B20" s="64"/>
      <c r="C20" s="63"/>
      <c r="D20" s="63"/>
      <c r="E20" s="63"/>
      <c r="F20" s="62"/>
      <c r="G20" s="61">
        <v>0.1</v>
      </c>
      <c r="H20" s="60">
        <v>0</v>
      </c>
      <c r="I20" s="59">
        <v>5.625</v>
      </c>
      <c r="J20" s="58">
        <f>IF(B8 &gt; 0,IF(B20&gt;=G20,0,IF(B20&lt;=H20,I20,I20*(B20-G20)/(H20-G20))),0)</f>
        <v>0</v>
      </c>
      <c r="K20" s="57">
        <f>IF(C8 &gt; 0,IF(C20&gt;=G20,0,IF(C20&lt;=H20,I20,I20*(C20-G20)/(H20-G20))),0)</f>
        <v>0</v>
      </c>
      <c r="L20" s="57">
        <f>IF(D8&gt;0,IF(D20&gt;=G20,0,IF(D20&lt;=H20,I20,I20*(D20-G20)/(H20-G20))),0)</f>
        <v>0</v>
      </c>
      <c r="M20" s="57">
        <f>IF(E8&gt;0,IF(E20&gt;=G20,0,IF(E20&lt;=H20,I20,I20*(E20-G20)/(H20-G20))),0)</f>
        <v>0</v>
      </c>
      <c r="N20" s="56">
        <f>IF(F8&gt;0,IF(F20&gt;=G20,0,IF(F20&lt;=H20,I20,I20*(F20-G20)/(H20-G20))),0)</f>
        <v>0</v>
      </c>
    </row>
    <row r="21" spans="1:16384" ht="21.75" thickBot="1" x14ac:dyDescent="0.4">
      <c r="A21" s="65" t="s">
        <v>62</v>
      </c>
      <c r="B21" s="54"/>
      <c r="C21" s="53"/>
      <c r="D21" s="53"/>
      <c r="E21" s="53"/>
      <c r="F21" s="52"/>
      <c r="G21" s="218">
        <v>4</v>
      </c>
      <c r="H21" s="153">
        <v>4.75</v>
      </c>
      <c r="I21" s="59">
        <v>2.5</v>
      </c>
      <c r="J21" s="217">
        <f>IF(B8 &gt; 0,IF(B21&lt;=G21,0,IF(B21&gt;=H21,I21,I21*(B21-G21)/(H21-G21))),0)</f>
        <v>0</v>
      </c>
      <c r="K21" s="216">
        <f>IF(C8 &gt; 0,IF(C21&lt;=G21,0,IF(C21&gt;=H21,I21,I21*(C21-G21)/(H21-G21))),0)</f>
        <v>0</v>
      </c>
      <c r="L21" s="216">
        <f>IF(D8&gt;0,IF(D21&lt;=G21,0,IF(D21&gt;=H21,I21,I21*(D21-G21)/(H21-G21))),0)</f>
        <v>0</v>
      </c>
      <c r="M21" s="216">
        <f>IF(E8&gt;0,IF(E21&lt;=G21,0,IF(E21&gt;=H21,I21,I21*(E21-G21)/(H21-G21))),0)</f>
        <v>0</v>
      </c>
      <c r="N21" s="215">
        <f>IF(F8&gt;0,IF(F21&lt;=G21,0,IF(F21&gt;=H21,I21,I21*(F21-G21)/(H21-G21))),0)</f>
        <v>0</v>
      </c>
    </row>
    <row r="22" spans="1:16384" ht="24" customHeight="1" thickBot="1" x14ac:dyDescent="0.35">
      <c r="A22" s="391" t="s">
        <v>75</v>
      </c>
      <c r="B22" s="392"/>
      <c r="C22" s="392"/>
      <c r="D22" s="392"/>
      <c r="E22" s="392"/>
      <c r="F22" s="392"/>
      <c r="G22" s="214"/>
      <c r="H22" s="214"/>
      <c r="I22" s="384">
        <f t="shared" ref="I22:N22" si="4">SUM(I24:I26)</f>
        <v>5</v>
      </c>
      <c r="J22" s="352">
        <f t="shared" si="4"/>
        <v>0</v>
      </c>
      <c r="K22" s="354">
        <f t="shared" si="4"/>
        <v>0</v>
      </c>
      <c r="L22" s="354">
        <f t="shared" si="4"/>
        <v>0</v>
      </c>
      <c r="M22" s="354">
        <f t="shared" si="4"/>
        <v>0</v>
      </c>
      <c r="N22" s="356">
        <f t="shared" si="4"/>
        <v>0</v>
      </c>
    </row>
    <row r="23" spans="1:16384" ht="21" customHeight="1" thickBot="1" x14ac:dyDescent="0.3">
      <c r="A23" s="151" t="s">
        <v>65</v>
      </c>
      <c r="B23" s="213"/>
      <c r="C23" s="148"/>
      <c r="D23" s="148"/>
      <c r="E23" s="148"/>
      <c r="F23" s="148"/>
      <c r="G23" s="212"/>
      <c r="H23" s="212"/>
      <c r="I23" s="385"/>
      <c r="J23" s="353"/>
      <c r="K23" s="355"/>
      <c r="L23" s="355"/>
      <c r="M23" s="355"/>
      <c r="N23" s="357"/>
    </row>
    <row r="24" spans="1:16384" ht="21" x14ac:dyDescent="0.35">
      <c r="A24" s="145" t="s">
        <v>64</v>
      </c>
      <c r="B24" s="143"/>
      <c r="C24" s="143"/>
      <c r="D24" s="143"/>
      <c r="E24" s="143"/>
      <c r="F24" s="143"/>
      <c r="G24" s="141">
        <v>2</v>
      </c>
      <c r="H24" s="141">
        <v>4.3</v>
      </c>
      <c r="I24" s="211">
        <v>1.75</v>
      </c>
      <c r="J24" s="139">
        <f>IF(B8 &gt; 0,IF(B24&lt;=G24,0,IF(B24&gt;=H24,I24,I24*(B24-G24)/(H24-G24))),0)</f>
        <v>0</v>
      </c>
      <c r="K24" s="138">
        <f>IF(C8 &gt; 0,IF(C24&lt;=G24,0,IF(C24&gt;=H24,I24,I24*(C24-G24)/(H24-G24))),0)</f>
        <v>0</v>
      </c>
      <c r="L24" s="138">
        <f>IF(D8&gt;0,IF(D24&lt;=G24,0,IF(D24&gt;=H24,I24,I24*(D24-G24)/(H24-G24))),0)</f>
        <v>0</v>
      </c>
      <c r="M24" s="138">
        <f>IF(E8&gt;0,IF(E24&lt;=G24,0,IF(E24&gt;=H24,I24,I24*(E24-G24)/(H24-G24))),0)</f>
        <v>0</v>
      </c>
      <c r="N24" s="137">
        <f>IF(F8&gt;0,IF(F24&lt;=G24,0,IF(F24&gt;=H24,I24,I24*(F24-G24)/(H24-G24))),0)</f>
        <v>0</v>
      </c>
    </row>
    <row r="25" spans="1:16384" ht="21" x14ac:dyDescent="0.35">
      <c r="A25" s="132" t="s">
        <v>63</v>
      </c>
      <c r="B25" s="135"/>
      <c r="C25" s="135"/>
      <c r="D25" s="135"/>
      <c r="E25" s="135"/>
      <c r="F25" s="135"/>
      <c r="G25" s="133">
        <v>0.1</v>
      </c>
      <c r="H25" s="133">
        <v>0</v>
      </c>
      <c r="I25" s="210">
        <v>2.25</v>
      </c>
      <c r="J25" s="126">
        <f>IF(B8 &gt; 0,IF(B25&gt;=G25,0,IF(B25&lt;=H25,I25,I25*(B25-G25)/(H25-G25))),0)</f>
        <v>0</v>
      </c>
      <c r="K25" s="125">
        <f>IF(C8 &gt; 0,IF(C25&gt;=G25,0,IF(C25&lt;=H25,I25,I25*(C25-G25)/(H25-G25))),0)</f>
        <v>0</v>
      </c>
      <c r="L25" s="125">
        <f>IF(D8&gt;0,IF(D25&gt;=G25,0,IF(D25&lt;=H25,I25,I25*(D25-G25)/(H25-G25))),0)</f>
        <v>0</v>
      </c>
      <c r="M25" s="125">
        <f>IF(E8&gt;0,IF(E25&gt;=G25,0,IF(E25&lt;=H25,I25,I25*(E25-G25)/(H25-G25))),0)</f>
        <v>0</v>
      </c>
      <c r="N25" s="124">
        <f>IF(F8&gt;0,IF(F25&gt;=G25,0,IF(F25&lt;=H25,I25,I25*(F25-G25)/(H25-G25))),0)</f>
        <v>0</v>
      </c>
    </row>
    <row r="26" spans="1:16384" ht="21.75" thickBot="1" x14ac:dyDescent="0.4">
      <c r="A26" s="132" t="s">
        <v>62</v>
      </c>
      <c r="B26" s="130"/>
      <c r="C26" s="130"/>
      <c r="D26" s="130"/>
      <c r="E26" s="130"/>
      <c r="F26" s="130"/>
      <c r="G26" s="128">
        <v>4</v>
      </c>
      <c r="H26" s="128">
        <v>4.75</v>
      </c>
      <c r="I26" s="210">
        <v>1</v>
      </c>
      <c r="J26" s="126">
        <f>IF(B8 &gt; 0,IF(B26&lt;=G26,0,IF(B26&gt;=H26,I26,I26*(B26-G26)/(H26-G26))),0)</f>
        <v>0</v>
      </c>
      <c r="K26" s="125">
        <f>IF(C8 &gt; 0,IF(C26&lt;=G26,0,IF(C26&gt;=H26,I26,I26*(C26-G26)/(H26-G26))),0)</f>
        <v>0</v>
      </c>
      <c r="L26" s="125">
        <f>IF(D8&gt;0,IF(D26&lt;=G26,0,IF(D26&gt;=H26,I26,I26*(D26-G26)/(H26-G26))),0)</f>
        <v>0</v>
      </c>
      <c r="M26" s="125">
        <f>IF(E8&gt;0,IF(E26&lt;=G26,0,IF(E26&gt;=H26,I26,I26*(E26-G26)/(H26-G26))),0)</f>
        <v>0</v>
      </c>
      <c r="N26" s="124">
        <f>IF(F8&gt;0,IF(F26&lt;=G26,0,IF(F26&gt;=H26,I26,I26*(F26-G26)/(H26-G26))),0)</f>
        <v>0</v>
      </c>
    </row>
    <row r="27" spans="1:16384" ht="27.75" customHeight="1" thickBot="1" x14ac:dyDescent="0.3">
      <c r="A27" s="209" t="s">
        <v>77</v>
      </c>
      <c r="B27" s="208"/>
      <c r="C27" s="208"/>
      <c r="D27" s="208"/>
      <c r="E27" s="208"/>
      <c r="F27" s="208"/>
      <c r="G27" s="208"/>
      <c r="H27" s="208"/>
      <c r="I27" s="207">
        <f t="shared" ref="I27:N27" si="5">I30+I35+I40+I45</f>
        <v>22.5</v>
      </c>
      <c r="J27" s="206">
        <f t="shared" si="5"/>
        <v>0</v>
      </c>
      <c r="K27" s="206">
        <f t="shared" si="5"/>
        <v>0</v>
      </c>
      <c r="L27" s="206">
        <f t="shared" si="5"/>
        <v>0</v>
      </c>
      <c r="M27" s="206">
        <f t="shared" si="5"/>
        <v>0</v>
      </c>
      <c r="N27" s="206">
        <f t="shared" si="5"/>
        <v>0</v>
      </c>
    </row>
    <row r="28" spans="1:16384" s="204" customFormat="1" ht="21.75" thickBot="1" x14ac:dyDescent="0.4">
      <c r="A28" s="205"/>
      <c r="B28" s="347" t="s">
        <v>73</v>
      </c>
      <c r="C28" s="348"/>
      <c r="D28" s="348"/>
      <c r="E28" s="348"/>
      <c r="F28" s="349"/>
      <c r="G28" s="347" t="s">
        <v>72</v>
      </c>
      <c r="H28" s="348"/>
      <c r="I28" s="349"/>
      <c r="J28" s="347" t="s">
        <v>71</v>
      </c>
      <c r="K28" s="348"/>
      <c r="L28" s="348"/>
      <c r="M28" s="348"/>
      <c r="N28" s="349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  <c r="AMA28"/>
      <c r="AMB28"/>
      <c r="AMC28"/>
      <c r="AMD28"/>
      <c r="AME28"/>
      <c r="AMF28"/>
      <c r="AMG28"/>
      <c r="AMH28"/>
      <c r="AMI28"/>
      <c r="AMJ28"/>
      <c r="AMK28"/>
      <c r="AML28"/>
      <c r="AMM28"/>
      <c r="AMN28"/>
      <c r="AMO28"/>
      <c r="AMP28"/>
      <c r="AMQ28"/>
      <c r="AMR28"/>
      <c r="AMS28"/>
      <c r="AMT28"/>
      <c r="AMU28"/>
      <c r="AMV28"/>
      <c r="AMW28"/>
      <c r="AMX28"/>
      <c r="AMY28"/>
      <c r="AMZ28"/>
      <c r="ANA28"/>
      <c r="ANB28"/>
      <c r="ANC28"/>
      <c r="AND28"/>
      <c r="ANE28"/>
      <c r="ANF28"/>
      <c r="ANG28"/>
      <c r="ANH28"/>
      <c r="ANI28"/>
      <c r="ANJ28"/>
      <c r="ANK28"/>
      <c r="ANL28"/>
      <c r="ANM28"/>
      <c r="ANN28"/>
      <c r="ANO28"/>
      <c r="ANP28"/>
      <c r="ANQ28"/>
      <c r="ANR28"/>
      <c r="ANS28"/>
      <c r="ANT28"/>
      <c r="ANU28"/>
      <c r="ANV28"/>
      <c r="ANW28"/>
      <c r="ANX28"/>
      <c r="ANY28"/>
      <c r="ANZ28"/>
      <c r="AOA28"/>
      <c r="AOB28"/>
      <c r="AOC28"/>
      <c r="AOD28"/>
      <c r="AOE28"/>
      <c r="AOF28"/>
      <c r="AOG28"/>
      <c r="AOH28"/>
      <c r="AOI28"/>
      <c r="AOJ28"/>
      <c r="AOK28"/>
      <c r="AOL28"/>
      <c r="AOM28"/>
      <c r="AON28"/>
      <c r="AOO28"/>
      <c r="AOP28"/>
      <c r="AOQ28"/>
      <c r="AOR28"/>
      <c r="AOS28"/>
      <c r="AOT28"/>
      <c r="AOU28"/>
      <c r="AOV28"/>
      <c r="AOW28"/>
      <c r="AOX28"/>
      <c r="AOY28"/>
      <c r="AOZ28"/>
      <c r="APA28"/>
      <c r="APB28"/>
      <c r="APC28"/>
      <c r="APD28"/>
      <c r="APE28"/>
      <c r="APF28"/>
      <c r="APG28"/>
      <c r="APH28"/>
      <c r="API28"/>
      <c r="APJ28"/>
      <c r="APK28"/>
      <c r="APL28"/>
      <c r="APM28"/>
      <c r="APN28"/>
      <c r="APO28"/>
      <c r="APP28"/>
      <c r="APQ28"/>
      <c r="APR28"/>
      <c r="APS28"/>
      <c r="APT28"/>
      <c r="APU28"/>
      <c r="APV28"/>
      <c r="APW28"/>
      <c r="APX28"/>
      <c r="APY28"/>
      <c r="APZ28"/>
      <c r="AQA28"/>
      <c r="AQB28"/>
      <c r="AQC28"/>
      <c r="AQD28"/>
      <c r="AQE28"/>
      <c r="AQF28"/>
      <c r="AQG28"/>
      <c r="AQH28"/>
      <c r="AQI28"/>
      <c r="AQJ28"/>
      <c r="AQK28"/>
      <c r="AQL28"/>
      <c r="AQM28"/>
      <c r="AQN28"/>
      <c r="AQO28"/>
      <c r="AQP28"/>
      <c r="AQQ28"/>
      <c r="AQR28"/>
      <c r="AQS28"/>
      <c r="AQT28"/>
      <c r="AQU28"/>
      <c r="AQV28"/>
      <c r="AQW28"/>
      <c r="AQX28"/>
      <c r="AQY28"/>
      <c r="AQZ28"/>
      <c r="ARA28"/>
      <c r="ARB28"/>
      <c r="ARC28"/>
      <c r="ARD28"/>
      <c r="ARE28"/>
      <c r="ARF28"/>
      <c r="ARG28"/>
      <c r="ARH28"/>
      <c r="ARI28"/>
      <c r="ARJ28"/>
      <c r="ARK28"/>
      <c r="ARL28"/>
      <c r="ARM28"/>
      <c r="ARN28"/>
      <c r="ARO28"/>
      <c r="ARP28"/>
      <c r="ARQ28"/>
      <c r="ARR28"/>
      <c r="ARS28"/>
      <c r="ART28"/>
      <c r="ARU28"/>
      <c r="ARV28"/>
      <c r="ARW28"/>
      <c r="ARX28"/>
      <c r="ARY28"/>
      <c r="ARZ28"/>
      <c r="ASA28"/>
      <c r="ASB28"/>
      <c r="ASC28"/>
      <c r="ASD28"/>
      <c r="ASE28"/>
      <c r="ASF28"/>
      <c r="ASG28"/>
      <c r="ASH28"/>
      <c r="ASI28"/>
      <c r="ASJ28"/>
      <c r="ASK28"/>
      <c r="ASL28"/>
      <c r="ASM28"/>
      <c r="ASN28"/>
      <c r="ASO28"/>
      <c r="ASP28"/>
      <c r="ASQ28"/>
      <c r="ASR28"/>
      <c r="ASS28"/>
      <c r="AST28"/>
      <c r="ASU28"/>
      <c r="ASV28"/>
      <c r="ASW28"/>
      <c r="ASX28"/>
      <c r="ASY28"/>
      <c r="ASZ28"/>
      <c r="ATA28"/>
      <c r="ATB28"/>
      <c r="ATC28"/>
      <c r="ATD28"/>
      <c r="ATE28"/>
      <c r="ATF28"/>
      <c r="ATG28"/>
      <c r="ATH28"/>
      <c r="ATI28"/>
      <c r="ATJ28"/>
      <c r="ATK28"/>
      <c r="ATL28"/>
      <c r="ATM28"/>
      <c r="ATN28"/>
      <c r="ATO28"/>
      <c r="ATP28"/>
      <c r="ATQ28"/>
      <c r="ATR28"/>
      <c r="ATS28"/>
      <c r="ATT28"/>
      <c r="ATU28"/>
      <c r="ATV28"/>
      <c r="ATW28"/>
      <c r="ATX28"/>
      <c r="ATY28"/>
      <c r="ATZ28"/>
      <c r="AUA28"/>
      <c r="AUB28"/>
      <c r="AUC28"/>
      <c r="AUD28"/>
      <c r="AUE28"/>
      <c r="AUF28"/>
      <c r="AUG28"/>
      <c r="AUH28"/>
      <c r="AUI28"/>
      <c r="AUJ28"/>
      <c r="AUK28"/>
      <c r="AUL28"/>
      <c r="AUM28"/>
      <c r="AUN28"/>
      <c r="AUO28"/>
      <c r="AUP28"/>
      <c r="AUQ28"/>
      <c r="AUR28"/>
      <c r="AUS28"/>
      <c r="AUT28"/>
      <c r="AUU28"/>
      <c r="AUV28"/>
      <c r="AUW28"/>
      <c r="AUX28"/>
      <c r="AUY28"/>
      <c r="AUZ28"/>
      <c r="AVA28"/>
      <c r="AVB28"/>
      <c r="AVC28"/>
      <c r="AVD28"/>
      <c r="AVE28"/>
      <c r="AVF28"/>
      <c r="AVG28"/>
      <c r="AVH28"/>
      <c r="AVI28"/>
      <c r="AVJ28"/>
      <c r="AVK28"/>
      <c r="AVL28"/>
      <c r="AVM28"/>
      <c r="AVN28"/>
      <c r="AVO28"/>
      <c r="AVP28"/>
      <c r="AVQ28"/>
      <c r="AVR28"/>
      <c r="AVS28"/>
      <c r="AVT28"/>
      <c r="AVU28"/>
      <c r="AVV28"/>
      <c r="AVW28"/>
      <c r="AVX28"/>
      <c r="AVY28"/>
      <c r="AVZ28"/>
      <c r="AWA28"/>
      <c r="AWB28"/>
      <c r="AWC28"/>
      <c r="AWD28"/>
      <c r="AWE28"/>
      <c r="AWF28"/>
      <c r="AWG28"/>
      <c r="AWH28"/>
      <c r="AWI28"/>
      <c r="AWJ28"/>
      <c r="AWK28"/>
      <c r="AWL28"/>
      <c r="AWM28"/>
      <c r="AWN28"/>
      <c r="AWO28"/>
      <c r="AWP28"/>
      <c r="AWQ28"/>
      <c r="AWR28"/>
      <c r="AWS28"/>
      <c r="AWT28"/>
      <c r="AWU28"/>
      <c r="AWV28"/>
      <c r="AWW28"/>
      <c r="AWX28"/>
      <c r="AWY28"/>
      <c r="AWZ28"/>
      <c r="AXA28"/>
      <c r="AXB28"/>
      <c r="AXC28"/>
      <c r="AXD28"/>
      <c r="AXE28"/>
      <c r="AXF28"/>
      <c r="AXG28"/>
      <c r="AXH28"/>
      <c r="AXI28"/>
      <c r="AXJ28"/>
      <c r="AXK28"/>
      <c r="AXL28"/>
      <c r="AXM28"/>
      <c r="AXN28"/>
      <c r="AXO28"/>
      <c r="AXP28"/>
      <c r="AXQ28"/>
      <c r="AXR28"/>
      <c r="AXS28"/>
      <c r="AXT28"/>
      <c r="AXU28"/>
      <c r="AXV28"/>
      <c r="AXW28"/>
      <c r="AXX28"/>
      <c r="AXY28"/>
      <c r="AXZ28"/>
      <c r="AYA28"/>
      <c r="AYB28"/>
      <c r="AYC28"/>
      <c r="AYD28"/>
      <c r="AYE28"/>
      <c r="AYF28"/>
      <c r="AYG28"/>
      <c r="AYH28"/>
      <c r="AYI28"/>
      <c r="AYJ28"/>
      <c r="AYK28"/>
      <c r="AYL28"/>
      <c r="AYM28"/>
      <c r="AYN28"/>
      <c r="AYO28"/>
      <c r="AYP28"/>
      <c r="AYQ28"/>
      <c r="AYR28"/>
      <c r="AYS28"/>
      <c r="AYT28"/>
      <c r="AYU28"/>
      <c r="AYV28"/>
      <c r="AYW28"/>
      <c r="AYX28"/>
      <c r="AYY28"/>
      <c r="AYZ28"/>
      <c r="AZA28"/>
      <c r="AZB28"/>
      <c r="AZC28"/>
      <c r="AZD28"/>
      <c r="AZE28"/>
      <c r="AZF28"/>
      <c r="AZG28"/>
      <c r="AZH28"/>
      <c r="AZI28"/>
      <c r="AZJ28"/>
      <c r="AZK28"/>
      <c r="AZL28"/>
      <c r="AZM28"/>
      <c r="AZN28"/>
      <c r="AZO28"/>
      <c r="AZP28"/>
      <c r="AZQ28"/>
      <c r="AZR28"/>
      <c r="AZS28"/>
      <c r="AZT28"/>
      <c r="AZU28"/>
      <c r="AZV28"/>
      <c r="AZW28"/>
      <c r="AZX28"/>
      <c r="AZY28"/>
      <c r="AZZ28"/>
      <c r="BAA28"/>
      <c r="BAB28"/>
      <c r="BAC28"/>
      <c r="BAD28"/>
      <c r="BAE28"/>
      <c r="BAF28"/>
      <c r="BAG28"/>
      <c r="BAH28"/>
      <c r="BAI28"/>
      <c r="BAJ28"/>
      <c r="BAK28"/>
      <c r="BAL28"/>
      <c r="BAM28"/>
      <c r="BAN28"/>
      <c r="BAO28"/>
      <c r="BAP28"/>
      <c r="BAQ28"/>
      <c r="BAR28"/>
      <c r="BAS28"/>
      <c r="BAT28"/>
      <c r="BAU28"/>
      <c r="BAV28"/>
      <c r="BAW28"/>
      <c r="BAX28"/>
      <c r="BAY28"/>
      <c r="BAZ28"/>
      <c r="BBA28"/>
      <c r="BBB28"/>
      <c r="BBC28"/>
      <c r="BBD28"/>
      <c r="BBE28"/>
      <c r="BBF28"/>
      <c r="BBG28"/>
      <c r="BBH28"/>
      <c r="BBI28"/>
      <c r="BBJ28"/>
      <c r="BBK28"/>
      <c r="BBL28"/>
      <c r="BBM28"/>
      <c r="BBN28"/>
      <c r="BBO28"/>
      <c r="BBP28"/>
      <c r="BBQ28"/>
      <c r="BBR28"/>
      <c r="BBS28"/>
      <c r="BBT28"/>
      <c r="BBU28"/>
      <c r="BBV28"/>
      <c r="BBW28"/>
      <c r="BBX28"/>
      <c r="BBY28"/>
      <c r="BBZ28"/>
      <c r="BCA28"/>
      <c r="BCB28"/>
      <c r="BCC28"/>
      <c r="BCD28"/>
      <c r="BCE28"/>
      <c r="BCF28"/>
      <c r="BCG28"/>
      <c r="BCH28"/>
      <c r="BCI28"/>
      <c r="BCJ28"/>
      <c r="BCK28"/>
      <c r="BCL28"/>
      <c r="BCM28"/>
      <c r="BCN28"/>
      <c r="BCO28"/>
      <c r="BCP28"/>
      <c r="BCQ28"/>
      <c r="BCR28"/>
      <c r="BCS28"/>
      <c r="BCT28"/>
      <c r="BCU28"/>
      <c r="BCV28"/>
      <c r="BCW28"/>
      <c r="BCX28"/>
      <c r="BCY28"/>
      <c r="BCZ28"/>
      <c r="BDA28"/>
      <c r="BDB28"/>
      <c r="BDC28"/>
      <c r="BDD28"/>
      <c r="BDE28"/>
      <c r="BDF28"/>
      <c r="BDG28"/>
      <c r="BDH28"/>
      <c r="BDI28"/>
      <c r="BDJ28"/>
      <c r="BDK28"/>
      <c r="BDL28"/>
      <c r="BDM28"/>
      <c r="BDN28"/>
      <c r="BDO28"/>
      <c r="BDP28"/>
      <c r="BDQ28"/>
      <c r="BDR28"/>
      <c r="BDS28"/>
      <c r="BDT28"/>
      <c r="BDU28"/>
      <c r="BDV28"/>
      <c r="BDW28"/>
      <c r="BDX28"/>
      <c r="BDY28"/>
      <c r="BDZ28"/>
      <c r="BEA28"/>
      <c r="BEB28"/>
      <c r="BEC28"/>
      <c r="BED28"/>
      <c r="BEE28"/>
      <c r="BEF28"/>
      <c r="BEG28"/>
      <c r="BEH28"/>
      <c r="BEI28"/>
      <c r="BEJ28"/>
      <c r="BEK28"/>
      <c r="BEL28"/>
      <c r="BEM28"/>
      <c r="BEN28"/>
      <c r="BEO28"/>
      <c r="BEP28"/>
      <c r="BEQ28"/>
      <c r="BER28"/>
      <c r="BES28"/>
      <c r="BET28"/>
      <c r="BEU28"/>
      <c r="BEV28"/>
      <c r="BEW28"/>
      <c r="BEX28"/>
      <c r="BEY28"/>
      <c r="BEZ28"/>
      <c r="BFA28"/>
      <c r="BFB28"/>
      <c r="BFC28"/>
      <c r="BFD28"/>
      <c r="BFE28"/>
      <c r="BFF28"/>
      <c r="BFG28"/>
      <c r="BFH28"/>
      <c r="BFI28"/>
      <c r="BFJ28"/>
      <c r="BFK28"/>
      <c r="BFL28"/>
      <c r="BFM28"/>
      <c r="BFN28"/>
      <c r="BFO28"/>
      <c r="BFP28"/>
      <c r="BFQ28"/>
      <c r="BFR28"/>
      <c r="BFS28"/>
      <c r="BFT28"/>
      <c r="BFU28"/>
      <c r="BFV28"/>
      <c r="BFW28"/>
      <c r="BFX28"/>
      <c r="BFY28"/>
      <c r="BFZ28"/>
      <c r="BGA28"/>
      <c r="BGB28"/>
      <c r="BGC28"/>
      <c r="BGD28"/>
      <c r="BGE28"/>
      <c r="BGF28"/>
      <c r="BGG28"/>
      <c r="BGH28"/>
      <c r="BGI28"/>
      <c r="BGJ28"/>
      <c r="BGK28"/>
      <c r="BGL28"/>
      <c r="BGM28"/>
      <c r="BGN28"/>
      <c r="BGO28"/>
      <c r="BGP28"/>
      <c r="BGQ28"/>
      <c r="BGR28"/>
      <c r="BGS28"/>
      <c r="BGT28"/>
      <c r="BGU28"/>
      <c r="BGV28"/>
      <c r="BGW28"/>
      <c r="BGX28"/>
      <c r="BGY28"/>
      <c r="BGZ28"/>
      <c r="BHA28"/>
      <c r="BHB28"/>
      <c r="BHC28"/>
      <c r="BHD28"/>
      <c r="BHE28"/>
      <c r="BHF28"/>
      <c r="BHG28"/>
      <c r="BHH28"/>
      <c r="BHI28"/>
      <c r="BHJ28"/>
      <c r="BHK28"/>
      <c r="BHL28"/>
      <c r="BHM28"/>
      <c r="BHN28"/>
      <c r="BHO28"/>
      <c r="BHP28"/>
      <c r="BHQ28"/>
      <c r="BHR28"/>
      <c r="BHS28"/>
      <c r="BHT28"/>
      <c r="BHU28"/>
      <c r="BHV28"/>
      <c r="BHW28"/>
      <c r="BHX28"/>
      <c r="BHY28"/>
      <c r="BHZ28"/>
      <c r="BIA28"/>
      <c r="BIB28"/>
      <c r="BIC28"/>
      <c r="BID28"/>
      <c r="BIE28"/>
      <c r="BIF28"/>
      <c r="BIG28"/>
      <c r="BIH28"/>
      <c r="BII28"/>
      <c r="BIJ28"/>
      <c r="BIK28"/>
      <c r="BIL28"/>
      <c r="BIM28"/>
      <c r="BIN28"/>
      <c r="BIO28"/>
      <c r="BIP28"/>
      <c r="BIQ28"/>
      <c r="BIR28"/>
      <c r="BIS28"/>
      <c r="BIT28"/>
      <c r="BIU28"/>
      <c r="BIV28"/>
      <c r="BIW28"/>
      <c r="BIX28"/>
      <c r="BIY28"/>
      <c r="BIZ28"/>
      <c r="BJA28"/>
      <c r="BJB28"/>
      <c r="BJC28"/>
      <c r="BJD28"/>
      <c r="BJE28"/>
      <c r="BJF28"/>
      <c r="BJG28"/>
      <c r="BJH28"/>
      <c r="BJI28"/>
      <c r="BJJ28"/>
      <c r="BJK28"/>
      <c r="BJL28"/>
      <c r="BJM28"/>
      <c r="BJN28"/>
      <c r="BJO28"/>
      <c r="BJP28"/>
      <c r="BJQ28"/>
      <c r="BJR28"/>
      <c r="BJS28"/>
      <c r="BJT28"/>
      <c r="BJU28"/>
      <c r="BJV28"/>
      <c r="BJW28"/>
      <c r="BJX28"/>
      <c r="BJY28"/>
      <c r="BJZ28"/>
      <c r="BKA28"/>
      <c r="BKB28"/>
      <c r="BKC28"/>
      <c r="BKD28"/>
      <c r="BKE28"/>
      <c r="BKF28"/>
      <c r="BKG28"/>
      <c r="BKH28"/>
      <c r="BKI28"/>
      <c r="BKJ28"/>
      <c r="BKK28"/>
      <c r="BKL28"/>
      <c r="BKM28"/>
      <c r="BKN28"/>
      <c r="BKO28"/>
      <c r="BKP28"/>
      <c r="BKQ28"/>
      <c r="BKR28"/>
      <c r="BKS28"/>
      <c r="BKT28"/>
      <c r="BKU28"/>
      <c r="BKV28"/>
      <c r="BKW28"/>
      <c r="BKX28"/>
      <c r="BKY28"/>
      <c r="BKZ28"/>
      <c r="BLA28"/>
      <c r="BLB28"/>
      <c r="BLC28"/>
      <c r="BLD28"/>
      <c r="BLE28"/>
      <c r="BLF28"/>
      <c r="BLG28"/>
      <c r="BLH28"/>
      <c r="BLI28"/>
      <c r="BLJ28"/>
      <c r="BLK28"/>
      <c r="BLL28"/>
      <c r="BLM28"/>
      <c r="BLN28"/>
      <c r="BLO28"/>
      <c r="BLP28"/>
      <c r="BLQ28"/>
      <c r="BLR28"/>
      <c r="BLS28"/>
      <c r="BLT28"/>
      <c r="BLU28"/>
      <c r="BLV28"/>
      <c r="BLW28"/>
      <c r="BLX28"/>
      <c r="BLY28"/>
      <c r="BLZ28"/>
      <c r="BMA28"/>
      <c r="BMB28"/>
      <c r="BMC28"/>
      <c r="BMD28"/>
      <c r="BME28"/>
      <c r="BMF28"/>
      <c r="BMG28"/>
      <c r="BMH28"/>
      <c r="BMI28"/>
      <c r="BMJ28"/>
      <c r="BMK28"/>
      <c r="BML28"/>
      <c r="BMM28"/>
      <c r="BMN28"/>
      <c r="BMO28"/>
      <c r="BMP28"/>
      <c r="BMQ28"/>
      <c r="BMR28"/>
      <c r="BMS28"/>
      <c r="BMT28"/>
      <c r="BMU28"/>
      <c r="BMV28"/>
      <c r="BMW28"/>
      <c r="BMX28"/>
      <c r="BMY28"/>
      <c r="BMZ28"/>
      <c r="BNA28"/>
      <c r="BNB28"/>
      <c r="BNC28"/>
      <c r="BND28"/>
      <c r="BNE28"/>
      <c r="BNF28"/>
      <c r="BNG28"/>
      <c r="BNH28"/>
      <c r="BNI28"/>
      <c r="BNJ28"/>
      <c r="BNK28"/>
      <c r="BNL28"/>
      <c r="BNM28"/>
      <c r="BNN28"/>
      <c r="BNO28"/>
      <c r="BNP28"/>
      <c r="BNQ28"/>
      <c r="BNR28"/>
      <c r="BNS28"/>
      <c r="BNT28"/>
      <c r="BNU28"/>
      <c r="BNV28"/>
      <c r="BNW28"/>
      <c r="BNX28"/>
      <c r="BNY28"/>
      <c r="BNZ28"/>
      <c r="BOA28"/>
      <c r="BOB28"/>
      <c r="BOC28"/>
      <c r="BOD28"/>
      <c r="BOE28"/>
      <c r="BOF28"/>
      <c r="BOG28"/>
      <c r="BOH28"/>
      <c r="BOI28"/>
      <c r="BOJ28"/>
      <c r="BOK28"/>
      <c r="BOL28"/>
      <c r="BOM28"/>
      <c r="BON28"/>
      <c r="BOO28"/>
      <c r="BOP28"/>
      <c r="BOQ28"/>
      <c r="BOR28"/>
      <c r="BOS28"/>
      <c r="BOT28"/>
      <c r="BOU28"/>
      <c r="BOV28"/>
      <c r="BOW28"/>
      <c r="BOX28"/>
      <c r="BOY28"/>
      <c r="BOZ28"/>
      <c r="BPA28"/>
      <c r="BPB28"/>
      <c r="BPC28"/>
      <c r="BPD28"/>
      <c r="BPE28"/>
      <c r="BPF28"/>
      <c r="BPG28"/>
      <c r="BPH28"/>
      <c r="BPI28"/>
      <c r="BPJ28"/>
      <c r="BPK28"/>
      <c r="BPL28"/>
      <c r="BPM28"/>
      <c r="BPN28"/>
      <c r="BPO28"/>
      <c r="BPP28"/>
      <c r="BPQ28"/>
      <c r="BPR28"/>
      <c r="BPS28"/>
      <c r="BPT28"/>
      <c r="BPU28"/>
      <c r="BPV28"/>
      <c r="BPW28"/>
      <c r="BPX28"/>
      <c r="BPY28"/>
      <c r="BPZ28"/>
      <c r="BQA28"/>
      <c r="BQB28"/>
      <c r="BQC28"/>
      <c r="BQD28"/>
      <c r="BQE28"/>
      <c r="BQF28"/>
      <c r="BQG28"/>
      <c r="BQH28"/>
      <c r="BQI28"/>
      <c r="BQJ28"/>
      <c r="BQK28"/>
      <c r="BQL28"/>
      <c r="BQM28"/>
      <c r="BQN28"/>
      <c r="BQO28"/>
      <c r="BQP28"/>
      <c r="BQQ28"/>
      <c r="BQR28"/>
      <c r="BQS28"/>
      <c r="BQT28"/>
      <c r="BQU28"/>
      <c r="BQV28"/>
      <c r="BQW28"/>
      <c r="BQX28"/>
      <c r="BQY28"/>
      <c r="BQZ28"/>
      <c r="BRA28"/>
      <c r="BRB28"/>
      <c r="BRC28"/>
      <c r="BRD28"/>
      <c r="BRE28"/>
      <c r="BRF28"/>
      <c r="BRG28"/>
      <c r="BRH28"/>
      <c r="BRI28"/>
      <c r="BRJ28"/>
      <c r="BRK28"/>
      <c r="BRL28"/>
      <c r="BRM28"/>
      <c r="BRN28"/>
      <c r="BRO28"/>
      <c r="BRP28"/>
      <c r="BRQ28"/>
      <c r="BRR28"/>
      <c r="BRS28"/>
      <c r="BRT28"/>
      <c r="BRU28"/>
      <c r="BRV28"/>
      <c r="BRW28"/>
      <c r="BRX28"/>
      <c r="BRY28"/>
      <c r="BRZ28"/>
      <c r="BSA28"/>
      <c r="BSB28"/>
      <c r="BSC28"/>
      <c r="BSD28"/>
      <c r="BSE28"/>
      <c r="BSF28"/>
      <c r="BSG28"/>
      <c r="BSH28"/>
      <c r="BSI28"/>
      <c r="BSJ28"/>
      <c r="BSK28"/>
      <c r="BSL28"/>
      <c r="BSM28"/>
      <c r="BSN28"/>
      <c r="BSO28"/>
      <c r="BSP28"/>
      <c r="BSQ28"/>
      <c r="BSR28"/>
      <c r="BSS28"/>
      <c r="BST28"/>
      <c r="BSU28"/>
      <c r="BSV28"/>
      <c r="BSW28"/>
      <c r="BSX28"/>
      <c r="BSY28"/>
      <c r="BSZ28"/>
      <c r="BTA28"/>
      <c r="BTB28"/>
      <c r="BTC28"/>
      <c r="BTD28"/>
      <c r="BTE28"/>
      <c r="BTF28"/>
      <c r="BTG28"/>
      <c r="BTH28"/>
      <c r="BTI28"/>
      <c r="BTJ28"/>
      <c r="BTK28"/>
      <c r="BTL28"/>
      <c r="BTM28"/>
      <c r="BTN28"/>
      <c r="BTO28"/>
      <c r="BTP28"/>
      <c r="BTQ28"/>
      <c r="BTR28"/>
      <c r="BTS28"/>
      <c r="BTT28"/>
      <c r="BTU28"/>
      <c r="BTV28"/>
      <c r="BTW28"/>
      <c r="BTX28"/>
      <c r="BTY28"/>
      <c r="BTZ28"/>
      <c r="BUA28"/>
      <c r="BUB28"/>
      <c r="BUC28"/>
      <c r="BUD28"/>
      <c r="BUE28"/>
      <c r="BUF28"/>
      <c r="BUG28"/>
      <c r="BUH28"/>
      <c r="BUI28"/>
      <c r="BUJ28"/>
      <c r="BUK28"/>
      <c r="BUL28"/>
      <c r="BUM28"/>
      <c r="BUN28"/>
      <c r="BUO28"/>
      <c r="BUP28"/>
      <c r="BUQ28"/>
      <c r="BUR28"/>
      <c r="BUS28"/>
      <c r="BUT28"/>
      <c r="BUU28"/>
      <c r="BUV28"/>
      <c r="BUW28"/>
      <c r="BUX28"/>
      <c r="BUY28"/>
      <c r="BUZ28"/>
      <c r="BVA28"/>
      <c r="BVB28"/>
      <c r="BVC28"/>
      <c r="BVD28"/>
      <c r="BVE28"/>
      <c r="BVF28"/>
      <c r="BVG28"/>
      <c r="BVH28"/>
      <c r="BVI28"/>
      <c r="BVJ28"/>
      <c r="BVK28"/>
      <c r="BVL28"/>
      <c r="BVM28"/>
      <c r="BVN28"/>
      <c r="BVO28"/>
      <c r="BVP28"/>
      <c r="BVQ28"/>
      <c r="BVR28"/>
      <c r="BVS28"/>
      <c r="BVT28"/>
      <c r="BVU28"/>
      <c r="BVV28"/>
      <c r="BVW28"/>
      <c r="BVX28"/>
      <c r="BVY28"/>
      <c r="BVZ28"/>
      <c r="BWA28"/>
      <c r="BWB28"/>
      <c r="BWC28"/>
      <c r="BWD28"/>
      <c r="BWE28"/>
      <c r="BWF28"/>
      <c r="BWG28"/>
      <c r="BWH28"/>
      <c r="BWI28"/>
      <c r="BWJ28"/>
      <c r="BWK28"/>
      <c r="BWL28"/>
      <c r="BWM28"/>
      <c r="BWN28"/>
      <c r="BWO28"/>
      <c r="BWP28"/>
      <c r="BWQ28"/>
      <c r="BWR28"/>
      <c r="BWS28"/>
      <c r="BWT28"/>
      <c r="BWU28"/>
      <c r="BWV28"/>
      <c r="BWW28"/>
      <c r="BWX28"/>
      <c r="BWY28"/>
      <c r="BWZ28"/>
      <c r="BXA28"/>
      <c r="BXB28"/>
      <c r="BXC28"/>
      <c r="BXD28"/>
      <c r="BXE28"/>
      <c r="BXF28"/>
      <c r="BXG28"/>
      <c r="BXH28"/>
      <c r="BXI28"/>
      <c r="BXJ28"/>
      <c r="BXK28"/>
      <c r="BXL28"/>
      <c r="BXM28"/>
      <c r="BXN28"/>
      <c r="BXO28"/>
      <c r="BXP28"/>
      <c r="BXQ28"/>
      <c r="BXR28"/>
      <c r="BXS28"/>
      <c r="BXT28"/>
      <c r="BXU28"/>
      <c r="BXV28"/>
      <c r="BXW28"/>
      <c r="BXX28"/>
      <c r="BXY28"/>
      <c r="BXZ28"/>
      <c r="BYA28"/>
      <c r="BYB28"/>
      <c r="BYC28"/>
      <c r="BYD28"/>
      <c r="BYE28"/>
      <c r="BYF28"/>
      <c r="BYG28"/>
      <c r="BYH28"/>
      <c r="BYI28"/>
      <c r="BYJ28"/>
      <c r="BYK28"/>
      <c r="BYL28"/>
      <c r="BYM28"/>
      <c r="BYN28"/>
      <c r="BYO28"/>
      <c r="BYP28"/>
      <c r="BYQ28"/>
      <c r="BYR28"/>
      <c r="BYS28"/>
      <c r="BYT28"/>
      <c r="BYU28"/>
      <c r="BYV28"/>
      <c r="BYW28"/>
      <c r="BYX28"/>
      <c r="BYY28"/>
      <c r="BYZ28"/>
      <c r="BZA28"/>
      <c r="BZB28"/>
      <c r="BZC28"/>
      <c r="BZD28"/>
      <c r="BZE28"/>
      <c r="BZF28"/>
      <c r="BZG28"/>
      <c r="BZH28"/>
      <c r="BZI28"/>
      <c r="BZJ28"/>
      <c r="BZK28"/>
      <c r="BZL28"/>
      <c r="BZM28"/>
      <c r="BZN28"/>
      <c r="BZO28"/>
      <c r="BZP28"/>
      <c r="BZQ28"/>
      <c r="BZR28"/>
      <c r="BZS28"/>
      <c r="BZT28"/>
      <c r="BZU28"/>
      <c r="BZV28"/>
      <c r="BZW28"/>
      <c r="BZX28"/>
      <c r="BZY28"/>
      <c r="BZZ28"/>
      <c r="CAA28"/>
      <c r="CAB28"/>
      <c r="CAC28"/>
      <c r="CAD28"/>
      <c r="CAE28"/>
      <c r="CAF28"/>
      <c r="CAG28"/>
      <c r="CAH28"/>
      <c r="CAI28"/>
      <c r="CAJ28"/>
      <c r="CAK28"/>
      <c r="CAL28"/>
      <c r="CAM28"/>
      <c r="CAN28"/>
      <c r="CAO28"/>
      <c r="CAP28"/>
      <c r="CAQ28"/>
      <c r="CAR28"/>
      <c r="CAS28"/>
      <c r="CAT28"/>
      <c r="CAU28"/>
      <c r="CAV28"/>
      <c r="CAW28"/>
      <c r="CAX28"/>
      <c r="CAY28"/>
      <c r="CAZ28"/>
      <c r="CBA28"/>
      <c r="CBB28"/>
      <c r="CBC28"/>
      <c r="CBD28"/>
      <c r="CBE28"/>
      <c r="CBF28"/>
      <c r="CBG28"/>
      <c r="CBH28"/>
      <c r="CBI28"/>
      <c r="CBJ28"/>
      <c r="CBK28"/>
      <c r="CBL28"/>
      <c r="CBM28"/>
      <c r="CBN28"/>
      <c r="CBO28"/>
      <c r="CBP28"/>
      <c r="CBQ28"/>
      <c r="CBR28"/>
      <c r="CBS28"/>
      <c r="CBT28"/>
      <c r="CBU28"/>
      <c r="CBV28"/>
      <c r="CBW28"/>
      <c r="CBX28"/>
      <c r="CBY28"/>
      <c r="CBZ28"/>
      <c r="CCA28"/>
      <c r="CCB28"/>
      <c r="CCC28"/>
      <c r="CCD28"/>
      <c r="CCE28"/>
      <c r="CCF28"/>
      <c r="CCG28"/>
      <c r="CCH28"/>
      <c r="CCI28"/>
      <c r="CCJ28"/>
      <c r="CCK28"/>
      <c r="CCL28"/>
      <c r="CCM28"/>
      <c r="CCN28"/>
      <c r="CCO28"/>
      <c r="CCP28"/>
      <c r="CCQ28"/>
      <c r="CCR28"/>
      <c r="CCS28"/>
      <c r="CCT28"/>
      <c r="CCU28"/>
      <c r="CCV28"/>
      <c r="CCW28"/>
      <c r="CCX28"/>
      <c r="CCY28"/>
      <c r="CCZ28"/>
      <c r="CDA28"/>
      <c r="CDB28"/>
      <c r="CDC28"/>
      <c r="CDD28"/>
      <c r="CDE28"/>
      <c r="CDF28"/>
      <c r="CDG28"/>
      <c r="CDH28"/>
      <c r="CDI28"/>
      <c r="CDJ28"/>
      <c r="CDK28"/>
      <c r="CDL28"/>
      <c r="CDM28"/>
      <c r="CDN28"/>
      <c r="CDO28"/>
      <c r="CDP28"/>
      <c r="CDQ28"/>
      <c r="CDR28"/>
      <c r="CDS28"/>
      <c r="CDT28"/>
      <c r="CDU28"/>
      <c r="CDV28"/>
      <c r="CDW28"/>
      <c r="CDX28"/>
      <c r="CDY28"/>
      <c r="CDZ28"/>
      <c r="CEA28"/>
      <c r="CEB28"/>
      <c r="CEC28"/>
      <c r="CED28"/>
      <c r="CEE28"/>
      <c r="CEF28"/>
      <c r="CEG28"/>
      <c r="CEH28"/>
      <c r="CEI28"/>
      <c r="CEJ28"/>
      <c r="CEK28"/>
      <c r="CEL28"/>
      <c r="CEM28"/>
      <c r="CEN28"/>
      <c r="CEO28"/>
      <c r="CEP28"/>
      <c r="CEQ28"/>
      <c r="CER28"/>
      <c r="CES28"/>
      <c r="CET28"/>
      <c r="CEU28"/>
      <c r="CEV28"/>
      <c r="CEW28"/>
      <c r="CEX28"/>
      <c r="CEY28"/>
      <c r="CEZ28"/>
      <c r="CFA28"/>
      <c r="CFB28"/>
      <c r="CFC28"/>
      <c r="CFD28"/>
      <c r="CFE28"/>
      <c r="CFF28"/>
      <c r="CFG28"/>
      <c r="CFH28"/>
      <c r="CFI28"/>
      <c r="CFJ28"/>
      <c r="CFK28"/>
      <c r="CFL28"/>
      <c r="CFM28"/>
      <c r="CFN28"/>
      <c r="CFO28"/>
      <c r="CFP28"/>
      <c r="CFQ28"/>
      <c r="CFR28"/>
      <c r="CFS28"/>
      <c r="CFT28"/>
      <c r="CFU28"/>
      <c r="CFV28"/>
      <c r="CFW28"/>
      <c r="CFX28"/>
      <c r="CFY28"/>
      <c r="CFZ28"/>
      <c r="CGA28"/>
      <c r="CGB28"/>
      <c r="CGC28"/>
      <c r="CGD28"/>
      <c r="CGE28"/>
      <c r="CGF28"/>
      <c r="CGG28"/>
      <c r="CGH28"/>
      <c r="CGI28"/>
      <c r="CGJ28"/>
      <c r="CGK28"/>
      <c r="CGL28"/>
      <c r="CGM28"/>
      <c r="CGN28"/>
      <c r="CGO28"/>
      <c r="CGP28"/>
      <c r="CGQ28"/>
      <c r="CGR28"/>
      <c r="CGS28"/>
      <c r="CGT28"/>
      <c r="CGU28"/>
      <c r="CGV28"/>
      <c r="CGW28"/>
      <c r="CGX28"/>
      <c r="CGY28"/>
      <c r="CGZ28"/>
      <c r="CHA28"/>
      <c r="CHB28"/>
      <c r="CHC28"/>
      <c r="CHD28"/>
      <c r="CHE28"/>
      <c r="CHF28"/>
      <c r="CHG28"/>
      <c r="CHH28"/>
      <c r="CHI28"/>
      <c r="CHJ28"/>
      <c r="CHK28"/>
      <c r="CHL28"/>
      <c r="CHM28"/>
      <c r="CHN28"/>
      <c r="CHO28"/>
      <c r="CHP28"/>
      <c r="CHQ28"/>
      <c r="CHR28"/>
      <c r="CHS28"/>
      <c r="CHT28"/>
      <c r="CHU28"/>
      <c r="CHV28"/>
      <c r="CHW28"/>
      <c r="CHX28"/>
      <c r="CHY28"/>
      <c r="CHZ28"/>
      <c r="CIA28"/>
      <c r="CIB28"/>
      <c r="CIC28"/>
      <c r="CID28"/>
      <c r="CIE28"/>
      <c r="CIF28"/>
      <c r="CIG28"/>
      <c r="CIH28"/>
      <c r="CII28"/>
      <c r="CIJ28"/>
      <c r="CIK28"/>
      <c r="CIL28"/>
      <c r="CIM28"/>
      <c r="CIN28"/>
      <c r="CIO28"/>
      <c r="CIP28"/>
      <c r="CIQ28"/>
      <c r="CIR28"/>
      <c r="CIS28"/>
      <c r="CIT28"/>
      <c r="CIU28"/>
      <c r="CIV28"/>
      <c r="CIW28"/>
      <c r="CIX28"/>
      <c r="CIY28"/>
      <c r="CIZ28"/>
      <c r="CJA28"/>
      <c r="CJB28"/>
      <c r="CJC28"/>
      <c r="CJD28"/>
      <c r="CJE28"/>
      <c r="CJF28"/>
      <c r="CJG28"/>
      <c r="CJH28"/>
      <c r="CJI28"/>
      <c r="CJJ28"/>
      <c r="CJK28"/>
      <c r="CJL28"/>
      <c r="CJM28"/>
      <c r="CJN28"/>
      <c r="CJO28"/>
      <c r="CJP28"/>
      <c r="CJQ28"/>
      <c r="CJR28"/>
      <c r="CJS28"/>
      <c r="CJT28"/>
      <c r="CJU28"/>
      <c r="CJV28"/>
      <c r="CJW28"/>
      <c r="CJX28"/>
      <c r="CJY28"/>
      <c r="CJZ28"/>
      <c r="CKA28"/>
      <c r="CKB28"/>
      <c r="CKC28"/>
      <c r="CKD28"/>
      <c r="CKE28"/>
      <c r="CKF28"/>
      <c r="CKG28"/>
      <c r="CKH28"/>
      <c r="CKI28"/>
      <c r="CKJ28"/>
      <c r="CKK28"/>
      <c r="CKL28"/>
      <c r="CKM28"/>
      <c r="CKN28"/>
      <c r="CKO28"/>
      <c r="CKP28"/>
      <c r="CKQ28"/>
      <c r="CKR28"/>
      <c r="CKS28"/>
      <c r="CKT28"/>
      <c r="CKU28"/>
      <c r="CKV28"/>
      <c r="CKW28"/>
      <c r="CKX28"/>
      <c r="CKY28"/>
      <c r="CKZ28"/>
      <c r="CLA28"/>
      <c r="CLB28"/>
      <c r="CLC28"/>
      <c r="CLD28"/>
      <c r="CLE28"/>
      <c r="CLF28"/>
      <c r="CLG28"/>
      <c r="CLH28"/>
      <c r="CLI28"/>
      <c r="CLJ28"/>
      <c r="CLK28"/>
      <c r="CLL28"/>
      <c r="CLM28"/>
      <c r="CLN28"/>
      <c r="CLO28"/>
      <c r="CLP28"/>
      <c r="CLQ28"/>
      <c r="CLR28"/>
      <c r="CLS28"/>
      <c r="CLT28"/>
      <c r="CLU28"/>
      <c r="CLV28"/>
      <c r="CLW28"/>
      <c r="CLX28"/>
      <c r="CLY28"/>
      <c r="CLZ28"/>
      <c r="CMA28"/>
      <c r="CMB28"/>
      <c r="CMC28"/>
      <c r="CMD28"/>
      <c r="CME28"/>
      <c r="CMF28"/>
      <c r="CMG28"/>
      <c r="CMH28"/>
      <c r="CMI28"/>
      <c r="CMJ28"/>
      <c r="CMK28"/>
      <c r="CML28"/>
      <c r="CMM28"/>
      <c r="CMN28"/>
      <c r="CMO28"/>
      <c r="CMP28"/>
      <c r="CMQ28"/>
      <c r="CMR28"/>
      <c r="CMS28"/>
      <c r="CMT28"/>
      <c r="CMU28"/>
      <c r="CMV28"/>
      <c r="CMW28"/>
      <c r="CMX28"/>
      <c r="CMY28"/>
      <c r="CMZ28"/>
      <c r="CNA28"/>
      <c r="CNB28"/>
      <c r="CNC28"/>
      <c r="CND28"/>
      <c r="CNE28"/>
      <c r="CNF28"/>
      <c r="CNG28"/>
      <c r="CNH28"/>
      <c r="CNI28"/>
      <c r="CNJ28"/>
      <c r="CNK28"/>
      <c r="CNL28"/>
      <c r="CNM28"/>
      <c r="CNN28"/>
      <c r="CNO28"/>
      <c r="CNP28"/>
      <c r="CNQ28"/>
      <c r="CNR28"/>
      <c r="CNS28"/>
      <c r="CNT28"/>
      <c r="CNU28"/>
      <c r="CNV28"/>
      <c r="CNW28"/>
      <c r="CNX28"/>
      <c r="CNY28"/>
      <c r="CNZ28"/>
      <c r="COA28"/>
      <c r="COB28"/>
      <c r="COC28"/>
      <c r="COD28"/>
      <c r="COE28"/>
      <c r="COF28"/>
      <c r="COG28"/>
      <c r="COH28"/>
      <c r="COI28"/>
      <c r="COJ28"/>
      <c r="COK28"/>
      <c r="COL28"/>
      <c r="COM28"/>
      <c r="CON28"/>
      <c r="COO28"/>
      <c r="COP28"/>
      <c r="COQ28"/>
      <c r="COR28"/>
      <c r="COS28"/>
      <c r="COT28"/>
      <c r="COU28"/>
      <c r="COV28"/>
      <c r="COW28"/>
      <c r="COX28"/>
      <c r="COY28"/>
      <c r="COZ28"/>
      <c r="CPA28"/>
      <c r="CPB28"/>
      <c r="CPC28"/>
      <c r="CPD28"/>
      <c r="CPE28"/>
      <c r="CPF28"/>
      <c r="CPG28"/>
      <c r="CPH28"/>
      <c r="CPI28"/>
      <c r="CPJ28"/>
      <c r="CPK28"/>
      <c r="CPL28"/>
      <c r="CPM28"/>
      <c r="CPN28"/>
      <c r="CPO28"/>
      <c r="CPP28"/>
      <c r="CPQ28"/>
      <c r="CPR28"/>
      <c r="CPS28"/>
      <c r="CPT28"/>
      <c r="CPU28"/>
      <c r="CPV28"/>
      <c r="CPW28"/>
      <c r="CPX28"/>
      <c r="CPY28"/>
      <c r="CPZ28"/>
      <c r="CQA28"/>
      <c r="CQB28"/>
      <c r="CQC28"/>
      <c r="CQD28"/>
      <c r="CQE28"/>
      <c r="CQF28"/>
      <c r="CQG28"/>
      <c r="CQH28"/>
      <c r="CQI28"/>
      <c r="CQJ28"/>
      <c r="CQK28"/>
      <c r="CQL28"/>
      <c r="CQM28"/>
      <c r="CQN28"/>
      <c r="CQO28"/>
      <c r="CQP28"/>
      <c r="CQQ28"/>
      <c r="CQR28"/>
      <c r="CQS28"/>
      <c r="CQT28"/>
      <c r="CQU28"/>
      <c r="CQV28"/>
      <c r="CQW28"/>
      <c r="CQX28"/>
      <c r="CQY28"/>
      <c r="CQZ28"/>
      <c r="CRA28"/>
      <c r="CRB28"/>
      <c r="CRC28"/>
      <c r="CRD28"/>
      <c r="CRE28"/>
      <c r="CRF28"/>
      <c r="CRG28"/>
      <c r="CRH28"/>
      <c r="CRI28"/>
      <c r="CRJ28"/>
      <c r="CRK28"/>
      <c r="CRL28"/>
      <c r="CRM28"/>
      <c r="CRN28"/>
      <c r="CRO28"/>
      <c r="CRP28"/>
      <c r="CRQ28"/>
      <c r="CRR28"/>
      <c r="CRS28"/>
      <c r="CRT28"/>
      <c r="CRU28"/>
      <c r="CRV28"/>
      <c r="CRW28"/>
      <c r="CRX28"/>
      <c r="CRY28"/>
      <c r="CRZ28"/>
      <c r="CSA28"/>
      <c r="CSB28"/>
      <c r="CSC28"/>
      <c r="CSD28"/>
      <c r="CSE28"/>
      <c r="CSF28"/>
      <c r="CSG28"/>
      <c r="CSH28"/>
      <c r="CSI28"/>
      <c r="CSJ28"/>
      <c r="CSK28"/>
      <c r="CSL28"/>
      <c r="CSM28"/>
      <c r="CSN28"/>
      <c r="CSO28"/>
      <c r="CSP28"/>
      <c r="CSQ28"/>
      <c r="CSR28"/>
      <c r="CSS28"/>
      <c r="CST28"/>
      <c r="CSU28"/>
      <c r="CSV28"/>
      <c r="CSW28"/>
      <c r="CSX28"/>
      <c r="CSY28"/>
      <c r="CSZ28"/>
      <c r="CTA28"/>
      <c r="CTB28"/>
      <c r="CTC28"/>
      <c r="CTD28"/>
      <c r="CTE28"/>
      <c r="CTF28"/>
      <c r="CTG28"/>
      <c r="CTH28"/>
      <c r="CTI28"/>
      <c r="CTJ28"/>
      <c r="CTK28"/>
      <c r="CTL28"/>
      <c r="CTM28"/>
      <c r="CTN28"/>
      <c r="CTO28"/>
      <c r="CTP28"/>
      <c r="CTQ28"/>
      <c r="CTR28"/>
      <c r="CTS28"/>
      <c r="CTT28"/>
      <c r="CTU28"/>
      <c r="CTV28"/>
      <c r="CTW28"/>
      <c r="CTX28"/>
      <c r="CTY28"/>
      <c r="CTZ28"/>
      <c r="CUA28"/>
      <c r="CUB28"/>
      <c r="CUC28"/>
      <c r="CUD28"/>
      <c r="CUE28"/>
      <c r="CUF28"/>
      <c r="CUG28"/>
      <c r="CUH28"/>
      <c r="CUI28"/>
      <c r="CUJ28"/>
      <c r="CUK28"/>
      <c r="CUL28"/>
      <c r="CUM28"/>
      <c r="CUN28"/>
      <c r="CUO28"/>
      <c r="CUP28"/>
      <c r="CUQ28"/>
      <c r="CUR28"/>
      <c r="CUS28"/>
      <c r="CUT28"/>
      <c r="CUU28"/>
      <c r="CUV28"/>
      <c r="CUW28"/>
      <c r="CUX28"/>
      <c r="CUY28"/>
      <c r="CUZ28"/>
      <c r="CVA28"/>
      <c r="CVB28"/>
      <c r="CVC28"/>
      <c r="CVD28"/>
      <c r="CVE28"/>
      <c r="CVF28"/>
      <c r="CVG28"/>
      <c r="CVH28"/>
      <c r="CVI28"/>
      <c r="CVJ28"/>
      <c r="CVK28"/>
      <c r="CVL28"/>
      <c r="CVM28"/>
      <c r="CVN28"/>
      <c r="CVO28"/>
      <c r="CVP28"/>
      <c r="CVQ28"/>
      <c r="CVR28"/>
      <c r="CVS28"/>
      <c r="CVT28"/>
      <c r="CVU28"/>
      <c r="CVV28"/>
      <c r="CVW28"/>
      <c r="CVX28"/>
      <c r="CVY28"/>
      <c r="CVZ28"/>
      <c r="CWA28"/>
      <c r="CWB28"/>
      <c r="CWC28"/>
      <c r="CWD28"/>
      <c r="CWE28"/>
      <c r="CWF28"/>
      <c r="CWG28"/>
      <c r="CWH28"/>
      <c r="CWI28"/>
      <c r="CWJ28"/>
      <c r="CWK28"/>
      <c r="CWL28"/>
      <c r="CWM28"/>
      <c r="CWN28"/>
      <c r="CWO28"/>
      <c r="CWP28"/>
      <c r="CWQ28"/>
      <c r="CWR28"/>
      <c r="CWS28"/>
      <c r="CWT28"/>
      <c r="CWU28"/>
      <c r="CWV28"/>
      <c r="CWW28"/>
      <c r="CWX28"/>
      <c r="CWY28"/>
      <c r="CWZ28"/>
      <c r="CXA28"/>
      <c r="CXB28"/>
      <c r="CXC28"/>
      <c r="CXD28"/>
      <c r="CXE28"/>
      <c r="CXF28"/>
      <c r="CXG28"/>
      <c r="CXH28"/>
      <c r="CXI28"/>
      <c r="CXJ28"/>
      <c r="CXK28"/>
      <c r="CXL28"/>
      <c r="CXM28"/>
      <c r="CXN28"/>
      <c r="CXO28"/>
      <c r="CXP28"/>
      <c r="CXQ28"/>
      <c r="CXR28"/>
      <c r="CXS28"/>
      <c r="CXT28"/>
      <c r="CXU28"/>
      <c r="CXV28"/>
      <c r="CXW28"/>
      <c r="CXX28"/>
      <c r="CXY28"/>
      <c r="CXZ28"/>
      <c r="CYA28"/>
      <c r="CYB28"/>
      <c r="CYC28"/>
      <c r="CYD28"/>
      <c r="CYE28"/>
      <c r="CYF28"/>
      <c r="CYG28"/>
      <c r="CYH28"/>
      <c r="CYI28"/>
      <c r="CYJ28"/>
      <c r="CYK28"/>
      <c r="CYL28"/>
      <c r="CYM28"/>
      <c r="CYN28"/>
      <c r="CYO28"/>
      <c r="CYP28"/>
      <c r="CYQ28"/>
      <c r="CYR28"/>
      <c r="CYS28"/>
      <c r="CYT28"/>
      <c r="CYU28"/>
      <c r="CYV28"/>
      <c r="CYW28"/>
      <c r="CYX28"/>
      <c r="CYY28"/>
      <c r="CYZ28"/>
      <c r="CZA28"/>
      <c r="CZB28"/>
      <c r="CZC28"/>
      <c r="CZD28"/>
      <c r="CZE28"/>
      <c r="CZF28"/>
      <c r="CZG28"/>
      <c r="CZH28"/>
      <c r="CZI28"/>
      <c r="CZJ28"/>
      <c r="CZK28"/>
      <c r="CZL28"/>
      <c r="CZM28"/>
      <c r="CZN28"/>
      <c r="CZO28"/>
      <c r="CZP28"/>
      <c r="CZQ28"/>
      <c r="CZR28"/>
      <c r="CZS28"/>
      <c r="CZT28"/>
      <c r="CZU28"/>
      <c r="CZV28"/>
      <c r="CZW28"/>
      <c r="CZX28"/>
      <c r="CZY28"/>
      <c r="CZZ28"/>
      <c r="DAA28"/>
      <c r="DAB28"/>
      <c r="DAC28"/>
      <c r="DAD28"/>
      <c r="DAE28"/>
      <c r="DAF28"/>
      <c r="DAG28"/>
      <c r="DAH28"/>
      <c r="DAI28"/>
      <c r="DAJ28"/>
      <c r="DAK28"/>
      <c r="DAL28"/>
      <c r="DAM28"/>
      <c r="DAN28"/>
      <c r="DAO28"/>
      <c r="DAP28"/>
      <c r="DAQ28"/>
      <c r="DAR28"/>
      <c r="DAS28"/>
      <c r="DAT28"/>
      <c r="DAU28"/>
      <c r="DAV28"/>
      <c r="DAW28"/>
      <c r="DAX28"/>
      <c r="DAY28"/>
      <c r="DAZ28"/>
      <c r="DBA28"/>
      <c r="DBB28"/>
      <c r="DBC28"/>
      <c r="DBD28"/>
      <c r="DBE28"/>
      <c r="DBF28"/>
      <c r="DBG28"/>
      <c r="DBH28"/>
      <c r="DBI28"/>
      <c r="DBJ28"/>
      <c r="DBK28"/>
      <c r="DBL28"/>
      <c r="DBM28"/>
      <c r="DBN28"/>
      <c r="DBO28"/>
      <c r="DBP28"/>
      <c r="DBQ28"/>
      <c r="DBR28"/>
      <c r="DBS28"/>
      <c r="DBT28"/>
      <c r="DBU28"/>
      <c r="DBV28"/>
      <c r="DBW28"/>
      <c r="DBX28"/>
      <c r="DBY28"/>
      <c r="DBZ28"/>
      <c r="DCA28"/>
      <c r="DCB28"/>
      <c r="DCC28"/>
      <c r="DCD28"/>
      <c r="DCE28"/>
      <c r="DCF28"/>
      <c r="DCG28"/>
      <c r="DCH28"/>
      <c r="DCI28"/>
      <c r="DCJ28"/>
      <c r="DCK28"/>
      <c r="DCL28"/>
      <c r="DCM28"/>
      <c r="DCN28"/>
      <c r="DCO28"/>
      <c r="DCP28"/>
      <c r="DCQ28"/>
      <c r="DCR28"/>
      <c r="DCS28"/>
      <c r="DCT28"/>
      <c r="DCU28"/>
      <c r="DCV28"/>
      <c r="DCW28"/>
      <c r="DCX28"/>
      <c r="DCY28"/>
      <c r="DCZ28"/>
      <c r="DDA28"/>
      <c r="DDB28"/>
      <c r="DDC28"/>
      <c r="DDD28"/>
      <c r="DDE28"/>
      <c r="DDF28"/>
      <c r="DDG28"/>
      <c r="DDH28"/>
      <c r="DDI28"/>
      <c r="DDJ28"/>
      <c r="DDK28"/>
      <c r="DDL28"/>
      <c r="DDM28"/>
      <c r="DDN28"/>
      <c r="DDO28"/>
      <c r="DDP28"/>
      <c r="DDQ28"/>
      <c r="DDR28"/>
      <c r="DDS28"/>
      <c r="DDT28"/>
      <c r="DDU28"/>
      <c r="DDV28"/>
      <c r="DDW28"/>
      <c r="DDX28"/>
      <c r="DDY28"/>
      <c r="DDZ28"/>
      <c r="DEA28"/>
      <c r="DEB28"/>
      <c r="DEC28"/>
      <c r="DED28"/>
      <c r="DEE28"/>
      <c r="DEF28"/>
      <c r="DEG28"/>
      <c r="DEH28"/>
      <c r="DEI28"/>
      <c r="DEJ28"/>
      <c r="DEK28"/>
      <c r="DEL28"/>
      <c r="DEM28"/>
      <c r="DEN28"/>
      <c r="DEO28"/>
      <c r="DEP28"/>
      <c r="DEQ28"/>
      <c r="DER28"/>
      <c r="DES28"/>
      <c r="DET28"/>
      <c r="DEU28"/>
      <c r="DEV28"/>
      <c r="DEW28"/>
      <c r="DEX28"/>
      <c r="DEY28"/>
      <c r="DEZ28"/>
      <c r="DFA28"/>
      <c r="DFB28"/>
      <c r="DFC28"/>
      <c r="DFD28"/>
      <c r="DFE28"/>
      <c r="DFF28"/>
      <c r="DFG28"/>
      <c r="DFH28"/>
      <c r="DFI28"/>
      <c r="DFJ28"/>
      <c r="DFK28"/>
      <c r="DFL28"/>
      <c r="DFM28"/>
      <c r="DFN28"/>
      <c r="DFO28"/>
      <c r="DFP28"/>
      <c r="DFQ28"/>
      <c r="DFR28"/>
      <c r="DFS28"/>
      <c r="DFT28"/>
      <c r="DFU28"/>
      <c r="DFV28"/>
      <c r="DFW28"/>
      <c r="DFX28"/>
      <c r="DFY28"/>
      <c r="DFZ28"/>
      <c r="DGA28"/>
      <c r="DGB28"/>
      <c r="DGC28"/>
      <c r="DGD28"/>
      <c r="DGE28"/>
      <c r="DGF28"/>
      <c r="DGG28"/>
      <c r="DGH28"/>
      <c r="DGI28"/>
      <c r="DGJ28"/>
      <c r="DGK28"/>
      <c r="DGL28"/>
      <c r="DGM28"/>
      <c r="DGN28"/>
      <c r="DGO28"/>
      <c r="DGP28"/>
      <c r="DGQ28"/>
      <c r="DGR28"/>
      <c r="DGS28"/>
      <c r="DGT28"/>
      <c r="DGU28"/>
      <c r="DGV28"/>
      <c r="DGW28"/>
      <c r="DGX28"/>
      <c r="DGY28"/>
      <c r="DGZ28"/>
      <c r="DHA28"/>
      <c r="DHB28"/>
      <c r="DHC28"/>
      <c r="DHD28"/>
      <c r="DHE28"/>
      <c r="DHF28"/>
      <c r="DHG28"/>
      <c r="DHH28"/>
      <c r="DHI28"/>
      <c r="DHJ28"/>
      <c r="DHK28"/>
      <c r="DHL28"/>
      <c r="DHM28"/>
      <c r="DHN28"/>
      <c r="DHO28"/>
      <c r="DHP28"/>
      <c r="DHQ28"/>
      <c r="DHR28"/>
      <c r="DHS28"/>
      <c r="DHT28"/>
      <c r="DHU28"/>
      <c r="DHV28"/>
      <c r="DHW28"/>
      <c r="DHX28"/>
      <c r="DHY28"/>
      <c r="DHZ28"/>
      <c r="DIA28"/>
      <c r="DIB28"/>
      <c r="DIC28"/>
      <c r="DID28"/>
      <c r="DIE28"/>
      <c r="DIF28"/>
      <c r="DIG28"/>
      <c r="DIH28"/>
      <c r="DII28"/>
      <c r="DIJ28"/>
      <c r="DIK28"/>
      <c r="DIL28"/>
      <c r="DIM28"/>
      <c r="DIN28"/>
      <c r="DIO28"/>
      <c r="DIP28"/>
      <c r="DIQ28"/>
      <c r="DIR28"/>
      <c r="DIS28"/>
      <c r="DIT28"/>
      <c r="DIU28"/>
      <c r="DIV28"/>
      <c r="DIW28"/>
      <c r="DIX28"/>
      <c r="DIY28"/>
      <c r="DIZ28"/>
      <c r="DJA28"/>
      <c r="DJB28"/>
      <c r="DJC28"/>
      <c r="DJD28"/>
      <c r="DJE28"/>
      <c r="DJF28"/>
      <c r="DJG28"/>
      <c r="DJH28"/>
      <c r="DJI28"/>
      <c r="DJJ28"/>
      <c r="DJK28"/>
      <c r="DJL28"/>
      <c r="DJM28"/>
      <c r="DJN28"/>
      <c r="DJO28"/>
      <c r="DJP28"/>
      <c r="DJQ28"/>
      <c r="DJR28"/>
      <c r="DJS28"/>
      <c r="DJT28"/>
      <c r="DJU28"/>
      <c r="DJV28"/>
      <c r="DJW28"/>
      <c r="DJX28"/>
      <c r="DJY28"/>
      <c r="DJZ28"/>
      <c r="DKA28"/>
      <c r="DKB28"/>
      <c r="DKC28"/>
      <c r="DKD28"/>
      <c r="DKE28"/>
      <c r="DKF28"/>
      <c r="DKG28"/>
      <c r="DKH28"/>
      <c r="DKI28"/>
      <c r="DKJ28"/>
      <c r="DKK28"/>
      <c r="DKL28"/>
      <c r="DKM28"/>
      <c r="DKN28"/>
      <c r="DKO28"/>
      <c r="DKP28"/>
      <c r="DKQ28"/>
      <c r="DKR28"/>
      <c r="DKS28"/>
      <c r="DKT28"/>
      <c r="DKU28"/>
      <c r="DKV28"/>
      <c r="DKW28"/>
      <c r="DKX28"/>
      <c r="DKY28"/>
      <c r="DKZ28"/>
      <c r="DLA28"/>
      <c r="DLB28"/>
      <c r="DLC28"/>
      <c r="DLD28"/>
      <c r="DLE28"/>
      <c r="DLF28"/>
      <c r="DLG28"/>
      <c r="DLH28"/>
      <c r="DLI28"/>
      <c r="DLJ28"/>
      <c r="DLK28"/>
      <c r="DLL28"/>
      <c r="DLM28"/>
      <c r="DLN28"/>
      <c r="DLO28"/>
      <c r="DLP28"/>
      <c r="DLQ28"/>
      <c r="DLR28"/>
      <c r="DLS28"/>
      <c r="DLT28"/>
      <c r="DLU28"/>
      <c r="DLV28"/>
      <c r="DLW28"/>
      <c r="DLX28"/>
      <c r="DLY28"/>
      <c r="DLZ28"/>
      <c r="DMA28"/>
      <c r="DMB28"/>
      <c r="DMC28"/>
      <c r="DMD28"/>
      <c r="DME28"/>
      <c r="DMF28"/>
      <c r="DMG28"/>
      <c r="DMH28"/>
      <c r="DMI28"/>
      <c r="DMJ28"/>
      <c r="DMK28"/>
      <c r="DML28"/>
      <c r="DMM28"/>
      <c r="DMN28"/>
      <c r="DMO28"/>
      <c r="DMP28"/>
      <c r="DMQ28"/>
      <c r="DMR28"/>
      <c r="DMS28"/>
      <c r="DMT28"/>
      <c r="DMU28"/>
      <c r="DMV28"/>
      <c r="DMW28"/>
      <c r="DMX28"/>
      <c r="DMY28"/>
      <c r="DMZ28"/>
      <c r="DNA28"/>
      <c r="DNB28"/>
      <c r="DNC28"/>
      <c r="DND28"/>
      <c r="DNE28"/>
      <c r="DNF28"/>
      <c r="DNG28"/>
      <c r="DNH28"/>
      <c r="DNI28"/>
      <c r="DNJ28"/>
      <c r="DNK28"/>
      <c r="DNL28"/>
      <c r="DNM28"/>
      <c r="DNN28"/>
      <c r="DNO28"/>
      <c r="DNP28"/>
      <c r="DNQ28"/>
      <c r="DNR28"/>
      <c r="DNS28"/>
      <c r="DNT28"/>
      <c r="DNU28"/>
      <c r="DNV28"/>
      <c r="DNW28"/>
      <c r="DNX28"/>
      <c r="DNY28"/>
      <c r="DNZ28"/>
      <c r="DOA28"/>
      <c r="DOB28"/>
      <c r="DOC28"/>
      <c r="DOD28"/>
      <c r="DOE28"/>
      <c r="DOF28"/>
      <c r="DOG28"/>
      <c r="DOH28"/>
      <c r="DOI28"/>
      <c r="DOJ28"/>
      <c r="DOK28"/>
      <c r="DOL28"/>
      <c r="DOM28"/>
      <c r="DON28"/>
      <c r="DOO28"/>
      <c r="DOP28"/>
      <c r="DOQ28"/>
      <c r="DOR28"/>
      <c r="DOS28"/>
      <c r="DOT28"/>
      <c r="DOU28"/>
      <c r="DOV28"/>
      <c r="DOW28"/>
      <c r="DOX28"/>
      <c r="DOY28"/>
      <c r="DOZ28"/>
      <c r="DPA28"/>
      <c r="DPB28"/>
      <c r="DPC28"/>
      <c r="DPD28"/>
      <c r="DPE28"/>
      <c r="DPF28"/>
      <c r="DPG28"/>
      <c r="DPH28"/>
      <c r="DPI28"/>
      <c r="DPJ28"/>
      <c r="DPK28"/>
      <c r="DPL28"/>
      <c r="DPM28"/>
      <c r="DPN28"/>
      <c r="DPO28"/>
      <c r="DPP28"/>
      <c r="DPQ28"/>
      <c r="DPR28"/>
      <c r="DPS28"/>
      <c r="DPT28"/>
      <c r="DPU28"/>
      <c r="DPV28"/>
      <c r="DPW28"/>
      <c r="DPX28"/>
      <c r="DPY28"/>
      <c r="DPZ28"/>
      <c r="DQA28"/>
      <c r="DQB28"/>
      <c r="DQC28"/>
      <c r="DQD28"/>
      <c r="DQE28"/>
      <c r="DQF28"/>
      <c r="DQG28"/>
      <c r="DQH28"/>
      <c r="DQI28"/>
      <c r="DQJ28"/>
      <c r="DQK28"/>
      <c r="DQL28"/>
      <c r="DQM28"/>
      <c r="DQN28"/>
      <c r="DQO28"/>
      <c r="DQP28"/>
      <c r="DQQ28"/>
      <c r="DQR28"/>
      <c r="DQS28"/>
      <c r="DQT28"/>
      <c r="DQU28"/>
      <c r="DQV28"/>
      <c r="DQW28"/>
      <c r="DQX28"/>
      <c r="DQY28"/>
      <c r="DQZ28"/>
      <c r="DRA28"/>
      <c r="DRB28"/>
      <c r="DRC28"/>
      <c r="DRD28"/>
      <c r="DRE28"/>
      <c r="DRF28"/>
      <c r="DRG28"/>
      <c r="DRH28"/>
      <c r="DRI28"/>
      <c r="DRJ28"/>
      <c r="DRK28"/>
      <c r="DRL28"/>
      <c r="DRM28"/>
      <c r="DRN28"/>
      <c r="DRO28"/>
      <c r="DRP28"/>
      <c r="DRQ28"/>
      <c r="DRR28"/>
      <c r="DRS28"/>
      <c r="DRT28"/>
      <c r="DRU28"/>
      <c r="DRV28"/>
      <c r="DRW28"/>
      <c r="DRX28"/>
      <c r="DRY28"/>
      <c r="DRZ28"/>
      <c r="DSA28"/>
      <c r="DSB28"/>
      <c r="DSC28"/>
      <c r="DSD28"/>
      <c r="DSE28"/>
      <c r="DSF28"/>
      <c r="DSG28"/>
      <c r="DSH28"/>
      <c r="DSI28"/>
      <c r="DSJ28"/>
      <c r="DSK28"/>
      <c r="DSL28"/>
      <c r="DSM28"/>
      <c r="DSN28"/>
      <c r="DSO28"/>
      <c r="DSP28"/>
      <c r="DSQ28"/>
      <c r="DSR28"/>
      <c r="DSS28"/>
      <c r="DST28"/>
      <c r="DSU28"/>
      <c r="DSV28"/>
      <c r="DSW28"/>
      <c r="DSX28"/>
      <c r="DSY28"/>
      <c r="DSZ28"/>
      <c r="DTA28"/>
      <c r="DTB28"/>
      <c r="DTC28"/>
      <c r="DTD28"/>
      <c r="DTE28"/>
      <c r="DTF28"/>
      <c r="DTG28"/>
      <c r="DTH28"/>
      <c r="DTI28"/>
      <c r="DTJ28"/>
      <c r="DTK28"/>
      <c r="DTL28"/>
      <c r="DTM28"/>
      <c r="DTN28"/>
      <c r="DTO28"/>
      <c r="DTP28"/>
      <c r="DTQ28"/>
      <c r="DTR28"/>
      <c r="DTS28"/>
      <c r="DTT28"/>
      <c r="DTU28"/>
      <c r="DTV28"/>
      <c r="DTW28"/>
      <c r="DTX28"/>
      <c r="DTY28"/>
      <c r="DTZ28"/>
      <c r="DUA28"/>
      <c r="DUB28"/>
      <c r="DUC28"/>
      <c r="DUD28"/>
      <c r="DUE28"/>
      <c r="DUF28"/>
      <c r="DUG28"/>
      <c r="DUH28"/>
      <c r="DUI28"/>
      <c r="DUJ28"/>
      <c r="DUK28"/>
      <c r="DUL28"/>
      <c r="DUM28"/>
      <c r="DUN28"/>
      <c r="DUO28"/>
      <c r="DUP28"/>
      <c r="DUQ28"/>
      <c r="DUR28"/>
      <c r="DUS28"/>
      <c r="DUT28"/>
      <c r="DUU28"/>
      <c r="DUV28"/>
      <c r="DUW28"/>
      <c r="DUX28"/>
      <c r="DUY28"/>
      <c r="DUZ28"/>
      <c r="DVA28"/>
      <c r="DVB28"/>
      <c r="DVC28"/>
      <c r="DVD28"/>
      <c r="DVE28"/>
      <c r="DVF28"/>
      <c r="DVG28"/>
      <c r="DVH28"/>
      <c r="DVI28"/>
      <c r="DVJ28"/>
      <c r="DVK28"/>
      <c r="DVL28"/>
      <c r="DVM28"/>
      <c r="DVN28"/>
      <c r="DVO28"/>
      <c r="DVP28"/>
      <c r="DVQ28"/>
      <c r="DVR28"/>
      <c r="DVS28"/>
      <c r="DVT28"/>
      <c r="DVU28"/>
      <c r="DVV28"/>
      <c r="DVW28"/>
      <c r="DVX28"/>
      <c r="DVY28"/>
      <c r="DVZ28"/>
      <c r="DWA28"/>
      <c r="DWB28"/>
      <c r="DWC28"/>
      <c r="DWD28"/>
      <c r="DWE28"/>
      <c r="DWF28"/>
      <c r="DWG28"/>
      <c r="DWH28"/>
      <c r="DWI28"/>
      <c r="DWJ28"/>
      <c r="DWK28"/>
      <c r="DWL28"/>
      <c r="DWM28"/>
      <c r="DWN28"/>
      <c r="DWO28"/>
      <c r="DWP28"/>
      <c r="DWQ28"/>
      <c r="DWR28"/>
      <c r="DWS28"/>
      <c r="DWT28"/>
      <c r="DWU28"/>
      <c r="DWV28"/>
      <c r="DWW28"/>
      <c r="DWX28"/>
      <c r="DWY28"/>
      <c r="DWZ28"/>
      <c r="DXA28"/>
      <c r="DXB28"/>
      <c r="DXC28"/>
      <c r="DXD28"/>
      <c r="DXE28"/>
      <c r="DXF28"/>
      <c r="DXG28"/>
      <c r="DXH28"/>
      <c r="DXI28"/>
      <c r="DXJ28"/>
      <c r="DXK28"/>
      <c r="DXL28"/>
      <c r="DXM28"/>
      <c r="DXN28"/>
      <c r="DXO28"/>
      <c r="DXP28"/>
      <c r="DXQ28"/>
      <c r="DXR28"/>
      <c r="DXS28"/>
      <c r="DXT28"/>
      <c r="DXU28"/>
      <c r="DXV28"/>
      <c r="DXW28"/>
      <c r="DXX28"/>
      <c r="DXY28"/>
      <c r="DXZ28"/>
      <c r="DYA28"/>
      <c r="DYB28"/>
      <c r="DYC28"/>
      <c r="DYD28"/>
      <c r="DYE28"/>
      <c r="DYF28"/>
      <c r="DYG28"/>
      <c r="DYH28"/>
      <c r="DYI28"/>
      <c r="DYJ28"/>
      <c r="DYK28"/>
      <c r="DYL28"/>
      <c r="DYM28"/>
      <c r="DYN28"/>
      <c r="DYO28"/>
      <c r="DYP28"/>
      <c r="DYQ28"/>
      <c r="DYR28"/>
      <c r="DYS28"/>
      <c r="DYT28"/>
      <c r="DYU28"/>
      <c r="DYV28"/>
      <c r="DYW28"/>
      <c r="DYX28"/>
      <c r="DYY28"/>
      <c r="DYZ28"/>
      <c r="DZA28"/>
      <c r="DZB28"/>
      <c r="DZC28"/>
      <c r="DZD28"/>
      <c r="DZE28"/>
      <c r="DZF28"/>
      <c r="DZG28"/>
      <c r="DZH28"/>
      <c r="DZI28"/>
      <c r="DZJ28"/>
      <c r="DZK28"/>
      <c r="DZL28"/>
      <c r="DZM28"/>
      <c r="DZN28"/>
      <c r="DZO28"/>
      <c r="DZP28"/>
      <c r="DZQ28"/>
      <c r="DZR28"/>
      <c r="DZS28"/>
      <c r="DZT28"/>
      <c r="DZU28"/>
      <c r="DZV28"/>
      <c r="DZW28"/>
      <c r="DZX28"/>
      <c r="DZY28"/>
      <c r="DZZ28"/>
      <c r="EAA28"/>
      <c r="EAB28"/>
      <c r="EAC28"/>
      <c r="EAD28"/>
      <c r="EAE28"/>
      <c r="EAF28"/>
      <c r="EAG28"/>
      <c r="EAH28"/>
      <c r="EAI28"/>
      <c r="EAJ28"/>
      <c r="EAK28"/>
      <c r="EAL28"/>
      <c r="EAM28"/>
      <c r="EAN28"/>
      <c r="EAO28"/>
      <c r="EAP28"/>
      <c r="EAQ28"/>
      <c r="EAR28"/>
      <c r="EAS28"/>
      <c r="EAT28"/>
      <c r="EAU28"/>
      <c r="EAV28"/>
      <c r="EAW28"/>
      <c r="EAX28"/>
      <c r="EAY28"/>
      <c r="EAZ28"/>
      <c r="EBA28"/>
      <c r="EBB28"/>
      <c r="EBC28"/>
      <c r="EBD28"/>
      <c r="EBE28"/>
      <c r="EBF28"/>
      <c r="EBG28"/>
      <c r="EBH28"/>
      <c r="EBI28"/>
      <c r="EBJ28"/>
      <c r="EBK28"/>
      <c r="EBL28"/>
      <c r="EBM28"/>
      <c r="EBN28"/>
      <c r="EBO28"/>
      <c r="EBP28"/>
      <c r="EBQ28"/>
      <c r="EBR28"/>
      <c r="EBS28"/>
      <c r="EBT28"/>
      <c r="EBU28"/>
      <c r="EBV28"/>
      <c r="EBW28"/>
      <c r="EBX28"/>
      <c r="EBY28"/>
      <c r="EBZ28"/>
      <c r="ECA28"/>
      <c r="ECB28"/>
      <c r="ECC28"/>
      <c r="ECD28"/>
      <c r="ECE28"/>
      <c r="ECF28"/>
      <c r="ECG28"/>
      <c r="ECH28"/>
      <c r="ECI28"/>
      <c r="ECJ28"/>
      <c r="ECK28"/>
      <c r="ECL28"/>
      <c r="ECM28"/>
      <c r="ECN28"/>
      <c r="ECO28"/>
      <c r="ECP28"/>
      <c r="ECQ28"/>
      <c r="ECR28"/>
      <c r="ECS28"/>
      <c r="ECT28"/>
      <c r="ECU28"/>
      <c r="ECV28"/>
      <c r="ECW28"/>
      <c r="ECX28"/>
      <c r="ECY28"/>
      <c r="ECZ28"/>
      <c r="EDA28"/>
      <c r="EDB28"/>
      <c r="EDC28"/>
      <c r="EDD28"/>
      <c r="EDE28"/>
      <c r="EDF28"/>
      <c r="EDG28"/>
      <c r="EDH28"/>
      <c r="EDI28"/>
      <c r="EDJ28"/>
      <c r="EDK28"/>
      <c r="EDL28"/>
      <c r="EDM28"/>
      <c r="EDN28"/>
      <c r="EDO28"/>
      <c r="EDP28"/>
      <c r="EDQ28"/>
      <c r="EDR28"/>
      <c r="EDS28"/>
      <c r="EDT28"/>
      <c r="EDU28"/>
      <c r="EDV28"/>
      <c r="EDW28"/>
      <c r="EDX28"/>
      <c r="EDY28"/>
      <c r="EDZ28"/>
      <c r="EEA28"/>
      <c r="EEB28"/>
      <c r="EEC28"/>
      <c r="EED28"/>
      <c r="EEE28"/>
      <c r="EEF28"/>
      <c r="EEG28"/>
      <c r="EEH28"/>
      <c r="EEI28"/>
      <c r="EEJ28"/>
      <c r="EEK28"/>
      <c r="EEL28"/>
      <c r="EEM28"/>
      <c r="EEN28"/>
      <c r="EEO28"/>
      <c r="EEP28"/>
      <c r="EEQ28"/>
      <c r="EER28"/>
      <c r="EES28"/>
      <c r="EET28"/>
      <c r="EEU28"/>
      <c r="EEV28"/>
      <c r="EEW28"/>
      <c r="EEX28"/>
      <c r="EEY28"/>
      <c r="EEZ28"/>
      <c r="EFA28"/>
      <c r="EFB28"/>
      <c r="EFC28"/>
      <c r="EFD28"/>
      <c r="EFE28"/>
      <c r="EFF28"/>
      <c r="EFG28"/>
      <c r="EFH28"/>
      <c r="EFI28"/>
      <c r="EFJ28"/>
      <c r="EFK28"/>
      <c r="EFL28"/>
      <c r="EFM28"/>
      <c r="EFN28"/>
      <c r="EFO28"/>
      <c r="EFP28"/>
      <c r="EFQ28"/>
      <c r="EFR28"/>
      <c r="EFS28"/>
      <c r="EFT28"/>
      <c r="EFU28"/>
      <c r="EFV28"/>
      <c r="EFW28"/>
      <c r="EFX28"/>
      <c r="EFY28"/>
      <c r="EFZ28"/>
      <c r="EGA28"/>
      <c r="EGB28"/>
      <c r="EGC28"/>
      <c r="EGD28"/>
      <c r="EGE28"/>
      <c r="EGF28"/>
      <c r="EGG28"/>
      <c r="EGH28"/>
      <c r="EGI28"/>
      <c r="EGJ28"/>
      <c r="EGK28"/>
      <c r="EGL28"/>
      <c r="EGM28"/>
      <c r="EGN28"/>
      <c r="EGO28"/>
      <c r="EGP28"/>
      <c r="EGQ28"/>
      <c r="EGR28"/>
      <c r="EGS28"/>
      <c r="EGT28"/>
      <c r="EGU28"/>
      <c r="EGV28"/>
      <c r="EGW28"/>
      <c r="EGX28"/>
      <c r="EGY28"/>
      <c r="EGZ28"/>
      <c r="EHA28"/>
      <c r="EHB28"/>
      <c r="EHC28"/>
      <c r="EHD28"/>
      <c r="EHE28"/>
      <c r="EHF28"/>
      <c r="EHG28"/>
      <c r="EHH28"/>
      <c r="EHI28"/>
      <c r="EHJ28"/>
      <c r="EHK28"/>
      <c r="EHL28"/>
      <c r="EHM28"/>
      <c r="EHN28"/>
      <c r="EHO28"/>
      <c r="EHP28"/>
      <c r="EHQ28"/>
      <c r="EHR28"/>
      <c r="EHS28"/>
      <c r="EHT28"/>
      <c r="EHU28"/>
      <c r="EHV28"/>
      <c r="EHW28"/>
      <c r="EHX28"/>
      <c r="EHY28"/>
      <c r="EHZ28"/>
      <c r="EIA28"/>
      <c r="EIB28"/>
      <c r="EIC28"/>
      <c r="EID28"/>
      <c r="EIE28"/>
      <c r="EIF28"/>
      <c r="EIG28"/>
      <c r="EIH28"/>
      <c r="EII28"/>
      <c r="EIJ28"/>
      <c r="EIK28"/>
      <c r="EIL28"/>
      <c r="EIM28"/>
      <c r="EIN28"/>
      <c r="EIO28"/>
      <c r="EIP28"/>
      <c r="EIQ28"/>
      <c r="EIR28"/>
      <c r="EIS28"/>
      <c r="EIT28"/>
      <c r="EIU28"/>
      <c r="EIV28"/>
      <c r="EIW28"/>
      <c r="EIX28"/>
      <c r="EIY28"/>
      <c r="EIZ28"/>
      <c r="EJA28"/>
      <c r="EJB28"/>
      <c r="EJC28"/>
      <c r="EJD28"/>
      <c r="EJE28"/>
      <c r="EJF28"/>
      <c r="EJG28"/>
      <c r="EJH28"/>
      <c r="EJI28"/>
      <c r="EJJ28"/>
      <c r="EJK28"/>
      <c r="EJL28"/>
      <c r="EJM28"/>
      <c r="EJN28"/>
      <c r="EJO28"/>
      <c r="EJP28"/>
      <c r="EJQ28"/>
      <c r="EJR28"/>
      <c r="EJS28"/>
      <c r="EJT28"/>
      <c r="EJU28"/>
      <c r="EJV28"/>
      <c r="EJW28"/>
      <c r="EJX28"/>
      <c r="EJY28"/>
      <c r="EJZ28"/>
      <c r="EKA28"/>
      <c r="EKB28"/>
      <c r="EKC28"/>
      <c r="EKD28"/>
      <c r="EKE28"/>
      <c r="EKF28"/>
      <c r="EKG28"/>
      <c r="EKH28"/>
      <c r="EKI28"/>
      <c r="EKJ28"/>
      <c r="EKK28"/>
      <c r="EKL28"/>
      <c r="EKM28"/>
      <c r="EKN28"/>
      <c r="EKO28"/>
      <c r="EKP28"/>
      <c r="EKQ28"/>
      <c r="EKR28"/>
      <c r="EKS28"/>
      <c r="EKT28"/>
      <c r="EKU28"/>
      <c r="EKV28"/>
      <c r="EKW28"/>
      <c r="EKX28"/>
      <c r="EKY28"/>
      <c r="EKZ28"/>
      <c r="ELA28"/>
      <c r="ELB28"/>
      <c r="ELC28"/>
      <c r="ELD28"/>
      <c r="ELE28"/>
      <c r="ELF28"/>
      <c r="ELG28"/>
      <c r="ELH28"/>
      <c r="ELI28"/>
      <c r="ELJ28"/>
      <c r="ELK28"/>
      <c r="ELL28"/>
      <c r="ELM28"/>
      <c r="ELN28"/>
      <c r="ELO28"/>
      <c r="ELP28"/>
      <c r="ELQ28"/>
      <c r="ELR28"/>
      <c r="ELS28"/>
      <c r="ELT28"/>
      <c r="ELU28"/>
      <c r="ELV28"/>
      <c r="ELW28"/>
      <c r="ELX28"/>
      <c r="ELY28"/>
      <c r="ELZ28"/>
      <c r="EMA28"/>
      <c r="EMB28"/>
      <c r="EMC28"/>
      <c r="EMD28"/>
      <c r="EME28"/>
      <c r="EMF28"/>
      <c r="EMG28"/>
      <c r="EMH28"/>
      <c r="EMI28"/>
      <c r="EMJ28"/>
      <c r="EMK28"/>
      <c r="EML28"/>
      <c r="EMM28"/>
      <c r="EMN28"/>
      <c r="EMO28"/>
      <c r="EMP28"/>
      <c r="EMQ28"/>
      <c r="EMR28"/>
      <c r="EMS28"/>
      <c r="EMT28"/>
      <c r="EMU28"/>
      <c r="EMV28"/>
      <c r="EMW28"/>
      <c r="EMX28"/>
      <c r="EMY28"/>
      <c r="EMZ28"/>
      <c r="ENA28"/>
      <c r="ENB28"/>
      <c r="ENC28"/>
      <c r="END28"/>
      <c r="ENE28"/>
      <c r="ENF28"/>
      <c r="ENG28"/>
      <c r="ENH28"/>
      <c r="ENI28"/>
      <c r="ENJ28"/>
      <c r="ENK28"/>
      <c r="ENL28"/>
      <c r="ENM28"/>
      <c r="ENN28"/>
      <c r="ENO28"/>
      <c r="ENP28"/>
      <c r="ENQ28"/>
      <c r="ENR28"/>
      <c r="ENS28"/>
      <c r="ENT28"/>
      <c r="ENU28"/>
      <c r="ENV28"/>
      <c r="ENW28"/>
      <c r="ENX28"/>
      <c r="ENY28"/>
      <c r="ENZ28"/>
      <c r="EOA28"/>
      <c r="EOB28"/>
      <c r="EOC28"/>
      <c r="EOD28"/>
      <c r="EOE28"/>
      <c r="EOF28"/>
      <c r="EOG28"/>
      <c r="EOH28"/>
      <c r="EOI28"/>
      <c r="EOJ28"/>
      <c r="EOK28"/>
      <c r="EOL28"/>
      <c r="EOM28"/>
      <c r="EON28"/>
      <c r="EOO28"/>
      <c r="EOP28"/>
      <c r="EOQ28"/>
      <c r="EOR28"/>
      <c r="EOS28"/>
      <c r="EOT28"/>
      <c r="EOU28"/>
      <c r="EOV28"/>
      <c r="EOW28"/>
      <c r="EOX28"/>
      <c r="EOY28"/>
      <c r="EOZ28"/>
      <c r="EPA28"/>
      <c r="EPB28"/>
      <c r="EPC28"/>
      <c r="EPD28"/>
      <c r="EPE28"/>
      <c r="EPF28"/>
      <c r="EPG28"/>
      <c r="EPH28"/>
      <c r="EPI28"/>
      <c r="EPJ28"/>
      <c r="EPK28"/>
      <c r="EPL28"/>
      <c r="EPM28"/>
      <c r="EPN28"/>
      <c r="EPO28"/>
      <c r="EPP28"/>
      <c r="EPQ28"/>
      <c r="EPR28"/>
      <c r="EPS28"/>
      <c r="EPT28"/>
      <c r="EPU28"/>
      <c r="EPV28"/>
      <c r="EPW28"/>
      <c r="EPX28"/>
      <c r="EPY28"/>
      <c r="EPZ28"/>
      <c r="EQA28"/>
      <c r="EQB28"/>
      <c r="EQC28"/>
      <c r="EQD28"/>
      <c r="EQE28"/>
      <c r="EQF28"/>
      <c r="EQG28"/>
      <c r="EQH28"/>
      <c r="EQI28"/>
      <c r="EQJ28"/>
      <c r="EQK28"/>
      <c r="EQL28"/>
      <c r="EQM28"/>
      <c r="EQN28"/>
      <c r="EQO28"/>
      <c r="EQP28"/>
      <c r="EQQ28"/>
      <c r="EQR28"/>
      <c r="EQS28"/>
      <c r="EQT28"/>
      <c r="EQU28"/>
      <c r="EQV28"/>
      <c r="EQW28"/>
      <c r="EQX28"/>
      <c r="EQY28"/>
      <c r="EQZ28"/>
      <c r="ERA28"/>
      <c r="ERB28"/>
      <c r="ERC28"/>
      <c r="ERD28"/>
      <c r="ERE28"/>
      <c r="ERF28"/>
      <c r="ERG28"/>
      <c r="ERH28"/>
      <c r="ERI28"/>
      <c r="ERJ28"/>
      <c r="ERK28"/>
      <c r="ERL28"/>
      <c r="ERM28"/>
      <c r="ERN28"/>
      <c r="ERO28"/>
      <c r="ERP28"/>
      <c r="ERQ28"/>
      <c r="ERR28"/>
      <c r="ERS28"/>
      <c r="ERT28"/>
      <c r="ERU28"/>
      <c r="ERV28"/>
      <c r="ERW28"/>
      <c r="ERX28"/>
      <c r="ERY28"/>
      <c r="ERZ28"/>
      <c r="ESA28"/>
      <c r="ESB28"/>
      <c r="ESC28"/>
      <c r="ESD28"/>
      <c r="ESE28"/>
      <c r="ESF28"/>
      <c r="ESG28"/>
      <c r="ESH28"/>
      <c r="ESI28"/>
      <c r="ESJ28"/>
      <c r="ESK28"/>
      <c r="ESL28"/>
      <c r="ESM28"/>
      <c r="ESN28"/>
      <c r="ESO28"/>
      <c r="ESP28"/>
      <c r="ESQ28"/>
      <c r="ESR28"/>
      <c r="ESS28"/>
      <c r="EST28"/>
      <c r="ESU28"/>
      <c r="ESV28"/>
      <c r="ESW28"/>
      <c r="ESX28"/>
      <c r="ESY28"/>
      <c r="ESZ28"/>
      <c r="ETA28"/>
      <c r="ETB28"/>
      <c r="ETC28"/>
      <c r="ETD28"/>
      <c r="ETE28"/>
      <c r="ETF28"/>
      <c r="ETG28"/>
      <c r="ETH28"/>
      <c r="ETI28"/>
      <c r="ETJ28"/>
      <c r="ETK28"/>
      <c r="ETL28"/>
      <c r="ETM28"/>
      <c r="ETN28"/>
      <c r="ETO28"/>
      <c r="ETP28"/>
      <c r="ETQ28"/>
      <c r="ETR28"/>
      <c r="ETS28"/>
      <c r="ETT28"/>
      <c r="ETU28"/>
      <c r="ETV28"/>
      <c r="ETW28"/>
      <c r="ETX28"/>
      <c r="ETY28"/>
      <c r="ETZ28"/>
      <c r="EUA28"/>
      <c r="EUB28"/>
      <c r="EUC28"/>
      <c r="EUD28"/>
      <c r="EUE28"/>
      <c r="EUF28"/>
      <c r="EUG28"/>
      <c r="EUH28"/>
      <c r="EUI28"/>
      <c r="EUJ28"/>
      <c r="EUK28"/>
      <c r="EUL28"/>
      <c r="EUM28"/>
      <c r="EUN28"/>
      <c r="EUO28"/>
      <c r="EUP28"/>
      <c r="EUQ28"/>
      <c r="EUR28"/>
      <c r="EUS28"/>
      <c r="EUT28"/>
      <c r="EUU28"/>
      <c r="EUV28"/>
      <c r="EUW28"/>
      <c r="EUX28"/>
      <c r="EUY28"/>
      <c r="EUZ28"/>
      <c r="EVA28"/>
      <c r="EVB28"/>
      <c r="EVC28"/>
      <c r="EVD28"/>
      <c r="EVE28"/>
      <c r="EVF28"/>
      <c r="EVG28"/>
      <c r="EVH28"/>
      <c r="EVI28"/>
      <c r="EVJ28"/>
      <c r="EVK28"/>
      <c r="EVL28"/>
      <c r="EVM28"/>
      <c r="EVN28"/>
      <c r="EVO28"/>
      <c r="EVP28"/>
      <c r="EVQ28"/>
      <c r="EVR28"/>
      <c r="EVS28"/>
      <c r="EVT28"/>
      <c r="EVU28"/>
      <c r="EVV28"/>
      <c r="EVW28"/>
      <c r="EVX28"/>
      <c r="EVY28"/>
      <c r="EVZ28"/>
      <c r="EWA28"/>
      <c r="EWB28"/>
      <c r="EWC28"/>
      <c r="EWD28"/>
      <c r="EWE28"/>
      <c r="EWF28"/>
      <c r="EWG28"/>
      <c r="EWH28"/>
      <c r="EWI28"/>
      <c r="EWJ28"/>
      <c r="EWK28"/>
      <c r="EWL28"/>
      <c r="EWM28"/>
      <c r="EWN28"/>
      <c r="EWO28"/>
      <c r="EWP28"/>
      <c r="EWQ28"/>
      <c r="EWR28"/>
      <c r="EWS28"/>
      <c r="EWT28"/>
      <c r="EWU28"/>
      <c r="EWV28"/>
      <c r="EWW28"/>
      <c r="EWX28"/>
      <c r="EWY28"/>
      <c r="EWZ28"/>
      <c r="EXA28"/>
      <c r="EXB28"/>
      <c r="EXC28"/>
      <c r="EXD28"/>
      <c r="EXE28"/>
      <c r="EXF28"/>
      <c r="EXG28"/>
      <c r="EXH28"/>
      <c r="EXI28"/>
      <c r="EXJ28"/>
      <c r="EXK28"/>
      <c r="EXL28"/>
      <c r="EXM28"/>
      <c r="EXN28"/>
      <c r="EXO28"/>
      <c r="EXP28"/>
      <c r="EXQ28"/>
      <c r="EXR28"/>
      <c r="EXS28"/>
      <c r="EXT28"/>
      <c r="EXU28"/>
      <c r="EXV28"/>
      <c r="EXW28"/>
      <c r="EXX28"/>
      <c r="EXY28"/>
      <c r="EXZ28"/>
      <c r="EYA28"/>
      <c r="EYB28"/>
      <c r="EYC28"/>
      <c r="EYD28"/>
      <c r="EYE28"/>
      <c r="EYF28"/>
      <c r="EYG28"/>
      <c r="EYH28"/>
      <c r="EYI28"/>
      <c r="EYJ28"/>
      <c r="EYK28"/>
      <c r="EYL28"/>
      <c r="EYM28"/>
      <c r="EYN28"/>
      <c r="EYO28"/>
      <c r="EYP28"/>
      <c r="EYQ28"/>
      <c r="EYR28"/>
      <c r="EYS28"/>
      <c r="EYT28"/>
      <c r="EYU28"/>
      <c r="EYV28"/>
      <c r="EYW28"/>
      <c r="EYX28"/>
      <c r="EYY28"/>
      <c r="EYZ28"/>
      <c r="EZA28"/>
      <c r="EZB28"/>
      <c r="EZC28"/>
      <c r="EZD28"/>
      <c r="EZE28"/>
      <c r="EZF28"/>
      <c r="EZG28"/>
      <c r="EZH28"/>
      <c r="EZI28"/>
      <c r="EZJ28"/>
      <c r="EZK28"/>
      <c r="EZL28"/>
      <c r="EZM28"/>
      <c r="EZN28"/>
      <c r="EZO28"/>
      <c r="EZP28"/>
      <c r="EZQ28"/>
      <c r="EZR28"/>
      <c r="EZS28"/>
      <c r="EZT28"/>
      <c r="EZU28"/>
      <c r="EZV28"/>
      <c r="EZW28"/>
      <c r="EZX28"/>
      <c r="EZY28"/>
      <c r="EZZ28"/>
      <c r="FAA28"/>
      <c r="FAB28"/>
      <c r="FAC28"/>
      <c r="FAD28"/>
      <c r="FAE28"/>
      <c r="FAF28"/>
      <c r="FAG28"/>
      <c r="FAH28"/>
      <c r="FAI28"/>
      <c r="FAJ28"/>
      <c r="FAK28"/>
      <c r="FAL28"/>
      <c r="FAM28"/>
      <c r="FAN28"/>
      <c r="FAO28"/>
      <c r="FAP28"/>
      <c r="FAQ28"/>
      <c r="FAR28"/>
      <c r="FAS28"/>
      <c r="FAT28"/>
      <c r="FAU28"/>
      <c r="FAV28"/>
      <c r="FAW28"/>
      <c r="FAX28"/>
      <c r="FAY28"/>
      <c r="FAZ28"/>
      <c r="FBA28"/>
      <c r="FBB28"/>
      <c r="FBC28"/>
      <c r="FBD28"/>
      <c r="FBE28"/>
      <c r="FBF28"/>
      <c r="FBG28"/>
      <c r="FBH28"/>
      <c r="FBI28"/>
      <c r="FBJ28"/>
      <c r="FBK28"/>
      <c r="FBL28"/>
      <c r="FBM28"/>
      <c r="FBN28"/>
      <c r="FBO28"/>
      <c r="FBP28"/>
      <c r="FBQ28"/>
      <c r="FBR28"/>
      <c r="FBS28"/>
      <c r="FBT28"/>
      <c r="FBU28"/>
      <c r="FBV28"/>
      <c r="FBW28"/>
      <c r="FBX28"/>
      <c r="FBY28"/>
      <c r="FBZ28"/>
      <c r="FCA28"/>
      <c r="FCB28"/>
      <c r="FCC28"/>
      <c r="FCD28"/>
      <c r="FCE28"/>
      <c r="FCF28"/>
      <c r="FCG28"/>
      <c r="FCH28"/>
      <c r="FCI28"/>
      <c r="FCJ28"/>
      <c r="FCK28"/>
      <c r="FCL28"/>
      <c r="FCM28"/>
      <c r="FCN28"/>
      <c r="FCO28"/>
      <c r="FCP28"/>
      <c r="FCQ28"/>
      <c r="FCR28"/>
      <c r="FCS28"/>
      <c r="FCT28"/>
      <c r="FCU28"/>
      <c r="FCV28"/>
      <c r="FCW28"/>
      <c r="FCX28"/>
      <c r="FCY28"/>
      <c r="FCZ28"/>
      <c r="FDA28"/>
      <c r="FDB28"/>
      <c r="FDC28"/>
      <c r="FDD28"/>
      <c r="FDE28"/>
      <c r="FDF28"/>
      <c r="FDG28"/>
      <c r="FDH28"/>
      <c r="FDI28"/>
      <c r="FDJ28"/>
      <c r="FDK28"/>
      <c r="FDL28"/>
      <c r="FDM28"/>
      <c r="FDN28"/>
      <c r="FDO28"/>
      <c r="FDP28"/>
      <c r="FDQ28"/>
      <c r="FDR28"/>
      <c r="FDS28"/>
      <c r="FDT28"/>
      <c r="FDU28"/>
      <c r="FDV28"/>
      <c r="FDW28"/>
      <c r="FDX28"/>
      <c r="FDY28"/>
      <c r="FDZ28"/>
      <c r="FEA28"/>
      <c r="FEB28"/>
      <c r="FEC28"/>
      <c r="FED28"/>
      <c r="FEE28"/>
      <c r="FEF28"/>
      <c r="FEG28"/>
      <c r="FEH28"/>
      <c r="FEI28"/>
      <c r="FEJ28"/>
      <c r="FEK28"/>
      <c r="FEL28"/>
      <c r="FEM28"/>
      <c r="FEN28"/>
      <c r="FEO28"/>
      <c r="FEP28"/>
      <c r="FEQ28"/>
      <c r="FER28"/>
      <c r="FES28"/>
      <c r="FET28"/>
      <c r="FEU28"/>
      <c r="FEV28"/>
      <c r="FEW28"/>
      <c r="FEX28"/>
      <c r="FEY28"/>
      <c r="FEZ28"/>
      <c r="FFA28"/>
      <c r="FFB28"/>
      <c r="FFC28"/>
      <c r="FFD28"/>
      <c r="FFE28"/>
      <c r="FFF28"/>
      <c r="FFG28"/>
      <c r="FFH28"/>
      <c r="FFI28"/>
      <c r="FFJ28"/>
      <c r="FFK28"/>
      <c r="FFL28"/>
      <c r="FFM28"/>
      <c r="FFN28"/>
      <c r="FFO28"/>
      <c r="FFP28"/>
      <c r="FFQ28"/>
      <c r="FFR28"/>
      <c r="FFS28"/>
      <c r="FFT28"/>
      <c r="FFU28"/>
      <c r="FFV28"/>
      <c r="FFW28"/>
      <c r="FFX28"/>
      <c r="FFY28"/>
      <c r="FFZ28"/>
      <c r="FGA28"/>
      <c r="FGB28"/>
      <c r="FGC28"/>
      <c r="FGD28"/>
      <c r="FGE28"/>
      <c r="FGF28"/>
      <c r="FGG28"/>
      <c r="FGH28"/>
      <c r="FGI28"/>
      <c r="FGJ28"/>
      <c r="FGK28"/>
      <c r="FGL28"/>
      <c r="FGM28"/>
      <c r="FGN28"/>
      <c r="FGO28"/>
      <c r="FGP28"/>
      <c r="FGQ28"/>
      <c r="FGR28"/>
      <c r="FGS28"/>
      <c r="FGT28"/>
      <c r="FGU28"/>
      <c r="FGV28"/>
      <c r="FGW28"/>
      <c r="FGX28"/>
      <c r="FGY28"/>
      <c r="FGZ28"/>
      <c r="FHA28"/>
      <c r="FHB28"/>
      <c r="FHC28"/>
      <c r="FHD28"/>
      <c r="FHE28"/>
      <c r="FHF28"/>
      <c r="FHG28"/>
      <c r="FHH28"/>
      <c r="FHI28"/>
      <c r="FHJ28"/>
      <c r="FHK28"/>
      <c r="FHL28"/>
      <c r="FHM28"/>
      <c r="FHN28"/>
      <c r="FHO28"/>
      <c r="FHP28"/>
      <c r="FHQ28"/>
      <c r="FHR28"/>
      <c r="FHS28"/>
      <c r="FHT28"/>
      <c r="FHU28"/>
      <c r="FHV28"/>
      <c r="FHW28"/>
      <c r="FHX28"/>
      <c r="FHY28"/>
      <c r="FHZ28"/>
      <c r="FIA28"/>
      <c r="FIB28"/>
      <c r="FIC28"/>
      <c r="FID28"/>
      <c r="FIE28"/>
      <c r="FIF28"/>
      <c r="FIG28"/>
      <c r="FIH28"/>
      <c r="FII28"/>
      <c r="FIJ28"/>
      <c r="FIK28"/>
      <c r="FIL28"/>
      <c r="FIM28"/>
      <c r="FIN28"/>
      <c r="FIO28"/>
      <c r="FIP28"/>
      <c r="FIQ28"/>
      <c r="FIR28"/>
      <c r="FIS28"/>
      <c r="FIT28"/>
      <c r="FIU28"/>
      <c r="FIV28"/>
      <c r="FIW28"/>
      <c r="FIX28"/>
      <c r="FIY28"/>
      <c r="FIZ28"/>
      <c r="FJA28"/>
      <c r="FJB28"/>
      <c r="FJC28"/>
      <c r="FJD28"/>
      <c r="FJE28"/>
      <c r="FJF28"/>
      <c r="FJG28"/>
      <c r="FJH28"/>
      <c r="FJI28"/>
      <c r="FJJ28"/>
      <c r="FJK28"/>
      <c r="FJL28"/>
      <c r="FJM28"/>
      <c r="FJN28"/>
      <c r="FJO28"/>
      <c r="FJP28"/>
      <c r="FJQ28"/>
      <c r="FJR28"/>
      <c r="FJS28"/>
      <c r="FJT28"/>
      <c r="FJU28"/>
      <c r="FJV28"/>
      <c r="FJW28"/>
      <c r="FJX28"/>
      <c r="FJY28"/>
      <c r="FJZ28"/>
      <c r="FKA28"/>
      <c r="FKB28"/>
      <c r="FKC28"/>
      <c r="FKD28"/>
      <c r="FKE28"/>
      <c r="FKF28"/>
      <c r="FKG28"/>
      <c r="FKH28"/>
      <c r="FKI28"/>
      <c r="FKJ28"/>
      <c r="FKK28"/>
      <c r="FKL28"/>
      <c r="FKM28"/>
      <c r="FKN28"/>
      <c r="FKO28"/>
      <c r="FKP28"/>
      <c r="FKQ28"/>
      <c r="FKR28"/>
      <c r="FKS28"/>
      <c r="FKT28"/>
      <c r="FKU28"/>
      <c r="FKV28"/>
      <c r="FKW28"/>
      <c r="FKX28"/>
      <c r="FKY28"/>
      <c r="FKZ28"/>
      <c r="FLA28"/>
      <c r="FLB28"/>
      <c r="FLC28"/>
      <c r="FLD28"/>
      <c r="FLE28"/>
      <c r="FLF28"/>
      <c r="FLG28"/>
      <c r="FLH28"/>
      <c r="FLI28"/>
      <c r="FLJ28"/>
      <c r="FLK28"/>
      <c r="FLL28"/>
      <c r="FLM28"/>
      <c r="FLN28"/>
      <c r="FLO28"/>
      <c r="FLP28"/>
      <c r="FLQ28"/>
      <c r="FLR28"/>
      <c r="FLS28"/>
      <c r="FLT28"/>
      <c r="FLU28"/>
      <c r="FLV28"/>
      <c r="FLW28"/>
      <c r="FLX28"/>
      <c r="FLY28"/>
      <c r="FLZ28"/>
      <c r="FMA28"/>
      <c r="FMB28"/>
      <c r="FMC28"/>
      <c r="FMD28"/>
      <c r="FME28"/>
      <c r="FMF28"/>
      <c r="FMG28"/>
      <c r="FMH28"/>
      <c r="FMI28"/>
      <c r="FMJ28"/>
      <c r="FMK28"/>
      <c r="FML28"/>
      <c r="FMM28"/>
      <c r="FMN28"/>
      <c r="FMO28"/>
      <c r="FMP28"/>
      <c r="FMQ28"/>
      <c r="FMR28"/>
      <c r="FMS28"/>
      <c r="FMT28"/>
      <c r="FMU28"/>
      <c r="FMV28"/>
      <c r="FMW28"/>
      <c r="FMX28"/>
      <c r="FMY28"/>
      <c r="FMZ28"/>
      <c r="FNA28"/>
      <c r="FNB28"/>
      <c r="FNC28"/>
      <c r="FND28"/>
      <c r="FNE28"/>
      <c r="FNF28"/>
      <c r="FNG28"/>
      <c r="FNH28"/>
      <c r="FNI28"/>
      <c r="FNJ28"/>
      <c r="FNK28"/>
      <c r="FNL28"/>
      <c r="FNM28"/>
      <c r="FNN28"/>
      <c r="FNO28"/>
      <c r="FNP28"/>
      <c r="FNQ28"/>
      <c r="FNR28"/>
      <c r="FNS28"/>
      <c r="FNT28"/>
      <c r="FNU28"/>
      <c r="FNV28"/>
      <c r="FNW28"/>
      <c r="FNX28"/>
      <c r="FNY28"/>
      <c r="FNZ28"/>
      <c r="FOA28"/>
      <c r="FOB28"/>
      <c r="FOC28"/>
      <c r="FOD28"/>
      <c r="FOE28"/>
      <c r="FOF28"/>
      <c r="FOG28"/>
      <c r="FOH28"/>
      <c r="FOI28"/>
      <c r="FOJ28"/>
      <c r="FOK28"/>
      <c r="FOL28"/>
      <c r="FOM28"/>
      <c r="FON28"/>
      <c r="FOO28"/>
      <c r="FOP28"/>
      <c r="FOQ28"/>
      <c r="FOR28"/>
      <c r="FOS28"/>
      <c r="FOT28"/>
      <c r="FOU28"/>
      <c r="FOV28"/>
      <c r="FOW28"/>
      <c r="FOX28"/>
      <c r="FOY28"/>
      <c r="FOZ28"/>
      <c r="FPA28"/>
      <c r="FPB28"/>
      <c r="FPC28"/>
      <c r="FPD28"/>
      <c r="FPE28"/>
      <c r="FPF28"/>
      <c r="FPG28"/>
      <c r="FPH28"/>
      <c r="FPI28"/>
      <c r="FPJ28"/>
      <c r="FPK28"/>
      <c r="FPL28"/>
      <c r="FPM28"/>
      <c r="FPN28"/>
      <c r="FPO28"/>
      <c r="FPP28"/>
      <c r="FPQ28"/>
      <c r="FPR28"/>
      <c r="FPS28"/>
      <c r="FPT28"/>
      <c r="FPU28"/>
      <c r="FPV28"/>
      <c r="FPW28"/>
      <c r="FPX28"/>
      <c r="FPY28"/>
      <c r="FPZ28"/>
      <c r="FQA28"/>
      <c r="FQB28"/>
      <c r="FQC28"/>
      <c r="FQD28"/>
      <c r="FQE28"/>
      <c r="FQF28"/>
      <c r="FQG28"/>
      <c r="FQH28"/>
      <c r="FQI28"/>
      <c r="FQJ28"/>
      <c r="FQK28"/>
      <c r="FQL28"/>
      <c r="FQM28"/>
      <c r="FQN28"/>
      <c r="FQO28"/>
      <c r="FQP28"/>
      <c r="FQQ28"/>
      <c r="FQR28"/>
      <c r="FQS28"/>
      <c r="FQT28"/>
      <c r="FQU28"/>
      <c r="FQV28"/>
      <c r="FQW28"/>
      <c r="FQX28"/>
      <c r="FQY28"/>
      <c r="FQZ28"/>
      <c r="FRA28"/>
      <c r="FRB28"/>
      <c r="FRC28"/>
      <c r="FRD28"/>
      <c r="FRE28"/>
      <c r="FRF28"/>
      <c r="FRG28"/>
      <c r="FRH28"/>
      <c r="FRI28"/>
      <c r="FRJ28"/>
      <c r="FRK28"/>
      <c r="FRL28"/>
      <c r="FRM28"/>
      <c r="FRN28"/>
      <c r="FRO28"/>
      <c r="FRP28"/>
      <c r="FRQ28"/>
      <c r="FRR28"/>
      <c r="FRS28"/>
      <c r="FRT28"/>
      <c r="FRU28"/>
      <c r="FRV28"/>
      <c r="FRW28"/>
      <c r="FRX28"/>
      <c r="FRY28"/>
      <c r="FRZ28"/>
      <c r="FSA28"/>
      <c r="FSB28"/>
      <c r="FSC28"/>
      <c r="FSD28"/>
      <c r="FSE28"/>
      <c r="FSF28"/>
      <c r="FSG28"/>
      <c r="FSH28"/>
      <c r="FSI28"/>
      <c r="FSJ28"/>
      <c r="FSK28"/>
      <c r="FSL28"/>
      <c r="FSM28"/>
      <c r="FSN28"/>
      <c r="FSO28"/>
      <c r="FSP28"/>
      <c r="FSQ28"/>
      <c r="FSR28"/>
      <c r="FSS28"/>
      <c r="FST28"/>
      <c r="FSU28"/>
      <c r="FSV28"/>
      <c r="FSW28"/>
      <c r="FSX28"/>
      <c r="FSY28"/>
      <c r="FSZ28"/>
      <c r="FTA28"/>
      <c r="FTB28"/>
      <c r="FTC28"/>
      <c r="FTD28"/>
      <c r="FTE28"/>
      <c r="FTF28"/>
      <c r="FTG28"/>
      <c r="FTH28"/>
      <c r="FTI28"/>
      <c r="FTJ28"/>
      <c r="FTK28"/>
      <c r="FTL28"/>
      <c r="FTM28"/>
      <c r="FTN28"/>
      <c r="FTO28"/>
      <c r="FTP28"/>
      <c r="FTQ28"/>
      <c r="FTR28"/>
      <c r="FTS28"/>
      <c r="FTT28"/>
      <c r="FTU28"/>
      <c r="FTV28"/>
      <c r="FTW28"/>
      <c r="FTX28"/>
      <c r="FTY28"/>
      <c r="FTZ28"/>
      <c r="FUA28"/>
      <c r="FUB28"/>
      <c r="FUC28"/>
      <c r="FUD28"/>
      <c r="FUE28"/>
      <c r="FUF28"/>
      <c r="FUG28"/>
      <c r="FUH28"/>
      <c r="FUI28"/>
      <c r="FUJ28"/>
      <c r="FUK28"/>
      <c r="FUL28"/>
      <c r="FUM28"/>
      <c r="FUN28"/>
      <c r="FUO28"/>
      <c r="FUP28"/>
      <c r="FUQ28"/>
      <c r="FUR28"/>
      <c r="FUS28"/>
      <c r="FUT28"/>
      <c r="FUU28"/>
      <c r="FUV28"/>
      <c r="FUW28"/>
      <c r="FUX28"/>
      <c r="FUY28"/>
      <c r="FUZ28"/>
      <c r="FVA28"/>
      <c r="FVB28"/>
      <c r="FVC28"/>
      <c r="FVD28"/>
      <c r="FVE28"/>
      <c r="FVF28"/>
      <c r="FVG28"/>
      <c r="FVH28"/>
      <c r="FVI28"/>
      <c r="FVJ28"/>
      <c r="FVK28"/>
      <c r="FVL28"/>
      <c r="FVM28"/>
      <c r="FVN28"/>
      <c r="FVO28"/>
      <c r="FVP28"/>
      <c r="FVQ28"/>
      <c r="FVR28"/>
      <c r="FVS28"/>
      <c r="FVT28"/>
      <c r="FVU28"/>
      <c r="FVV28"/>
      <c r="FVW28"/>
      <c r="FVX28"/>
      <c r="FVY28"/>
      <c r="FVZ28"/>
      <c r="FWA28"/>
      <c r="FWB28"/>
      <c r="FWC28"/>
      <c r="FWD28"/>
      <c r="FWE28"/>
      <c r="FWF28"/>
      <c r="FWG28"/>
      <c r="FWH28"/>
      <c r="FWI28"/>
      <c r="FWJ28"/>
      <c r="FWK28"/>
      <c r="FWL28"/>
      <c r="FWM28"/>
      <c r="FWN28"/>
      <c r="FWO28"/>
      <c r="FWP28"/>
      <c r="FWQ28"/>
      <c r="FWR28"/>
      <c r="FWS28"/>
      <c r="FWT28"/>
      <c r="FWU28"/>
      <c r="FWV28"/>
      <c r="FWW28"/>
      <c r="FWX28"/>
      <c r="FWY28"/>
      <c r="FWZ28"/>
      <c r="FXA28"/>
      <c r="FXB28"/>
      <c r="FXC28"/>
      <c r="FXD28"/>
      <c r="FXE28"/>
      <c r="FXF28"/>
      <c r="FXG28"/>
      <c r="FXH28"/>
      <c r="FXI28"/>
      <c r="FXJ28"/>
      <c r="FXK28"/>
      <c r="FXL28"/>
      <c r="FXM28"/>
      <c r="FXN28"/>
      <c r="FXO28"/>
      <c r="FXP28"/>
      <c r="FXQ28"/>
      <c r="FXR28"/>
      <c r="FXS28"/>
      <c r="FXT28"/>
      <c r="FXU28"/>
      <c r="FXV28"/>
      <c r="FXW28"/>
      <c r="FXX28"/>
      <c r="FXY28"/>
      <c r="FXZ28"/>
      <c r="FYA28"/>
      <c r="FYB28"/>
      <c r="FYC28"/>
      <c r="FYD28"/>
      <c r="FYE28"/>
      <c r="FYF28"/>
      <c r="FYG28"/>
      <c r="FYH28"/>
      <c r="FYI28"/>
      <c r="FYJ28"/>
      <c r="FYK28"/>
      <c r="FYL28"/>
      <c r="FYM28"/>
      <c r="FYN28"/>
      <c r="FYO28"/>
      <c r="FYP28"/>
      <c r="FYQ28"/>
      <c r="FYR28"/>
      <c r="FYS28"/>
      <c r="FYT28"/>
      <c r="FYU28"/>
      <c r="FYV28"/>
      <c r="FYW28"/>
      <c r="FYX28"/>
      <c r="FYY28"/>
      <c r="FYZ28"/>
      <c r="FZA28"/>
      <c r="FZB28"/>
      <c r="FZC28"/>
      <c r="FZD28"/>
      <c r="FZE28"/>
      <c r="FZF28"/>
      <c r="FZG28"/>
      <c r="FZH28"/>
      <c r="FZI28"/>
      <c r="FZJ28"/>
      <c r="FZK28"/>
      <c r="FZL28"/>
      <c r="FZM28"/>
      <c r="FZN28"/>
      <c r="FZO28"/>
      <c r="FZP28"/>
      <c r="FZQ28"/>
      <c r="FZR28"/>
      <c r="FZS28"/>
      <c r="FZT28"/>
      <c r="FZU28"/>
      <c r="FZV28"/>
      <c r="FZW28"/>
      <c r="FZX28"/>
      <c r="FZY28"/>
      <c r="FZZ28"/>
      <c r="GAA28"/>
      <c r="GAB28"/>
      <c r="GAC28"/>
      <c r="GAD28"/>
      <c r="GAE28"/>
      <c r="GAF28"/>
      <c r="GAG28"/>
      <c r="GAH28"/>
      <c r="GAI28"/>
      <c r="GAJ28"/>
      <c r="GAK28"/>
      <c r="GAL28"/>
      <c r="GAM28"/>
      <c r="GAN28"/>
      <c r="GAO28"/>
      <c r="GAP28"/>
      <c r="GAQ28"/>
      <c r="GAR28"/>
      <c r="GAS28"/>
      <c r="GAT28"/>
      <c r="GAU28"/>
      <c r="GAV28"/>
      <c r="GAW28"/>
      <c r="GAX28"/>
      <c r="GAY28"/>
      <c r="GAZ28"/>
      <c r="GBA28"/>
      <c r="GBB28"/>
      <c r="GBC28"/>
      <c r="GBD28"/>
      <c r="GBE28"/>
      <c r="GBF28"/>
      <c r="GBG28"/>
      <c r="GBH28"/>
      <c r="GBI28"/>
      <c r="GBJ28"/>
      <c r="GBK28"/>
      <c r="GBL28"/>
      <c r="GBM28"/>
      <c r="GBN28"/>
      <c r="GBO28"/>
      <c r="GBP28"/>
      <c r="GBQ28"/>
      <c r="GBR28"/>
      <c r="GBS28"/>
      <c r="GBT28"/>
      <c r="GBU28"/>
      <c r="GBV28"/>
      <c r="GBW28"/>
      <c r="GBX28"/>
      <c r="GBY28"/>
      <c r="GBZ28"/>
      <c r="GCA28"/>
      <c r="GCB28"/>
      <c r="GCC28"/>
      <c r="GCD28"/>
      <c r="GCE28"/>
      <c r="GCF28"/>
      <c r="GCG28"/>
      <c r="GCH28"/>
      <c r="GCI28"/>
      <c r="GCJ28"/>
      <c r="GCK28"/>
      <c r="GCL28"/>
      <c r="GCM28"/>
      <c r="GCN28"/>
      <c r="GCO28"/>
      <c r="GCP28"/>
      <c r="GCQ28"/>
      <c r="GCR28"/>
      <c r="GCS28"/>
      <c r="GCT28"/>
      <c r="GCU28"/>
      <c r="GCV28"/>
      <c r="GCW28"/>
      <c r="GCX28"/>
      <c r="GCY28"/>
      <c r="GCZ28"/>
      <c r="GDA28"/>
      <c r="GDB28"/>
      <c r="GDC28"/>
      <c r="GDD28"/>
      <c r="GDE28"/>
      <c r="GDF28"/>
      <c r="GDG28"/>
      <c r="GDH28"/>
      <c r="GDI28"/>
      <c r="GDJ28"/>
      <c r="GDK28"/>
      <c r="GDL28"/>
      <c r="GDM28"/>
      <c r="GDN28"/>
      <c r="GDO28"/>
      <c r="GDP28"/>
      <c r="GDQ28"/>
      <c r="GDR28"/>
      <c r="GDS28"/>
      <c r="GDT28"/>
      <c r="GDU28"/>
      <c r="GDV28"/>
      <c r="GDW28"/>
      <c r="GDX28"/>
      <c r="GDY28"/>
      <c r="GDZ28"/>
      <c r="GEA28"/>
      <c r="GEB28"/>
      <c r="GEC28"/>
      <c r="GED28"/>
      <c r="GEE28"/>
      <c r="GEF28"/>
      <c r="GEG28"/>
      <c r="GEH28"/>
      <c r="GEI28"/>
      <c r="GEJ28"/>
      <c r="GEK28"/>
      <c r="GEL28"/>
      <c r="GEM28"/>
      <c r="GEN28"/>
      <c r="GEO28"/>
      <c r="GEP28"/>
      <c r="GEQ28"/>
      <c r="GER28"/>
      <c r="GES28"/>
      <c r="GET28"/>
      <c r="GEU28"/>
      <c r="GEV28"/>
      <c r="GEW28"/>
      <c r="GEX28"/>
      <c r="GEY28"/>
      <c r="GEZ28"/>
      <c r="GFA28"/>
      <c r="GFB28"/>
      <c r="GFC28"/>
      <c r="GFD28"/>
      <c r="GFE28"/>
      <c r="GFF28"/>
      <c r="GFG28"/>
      <c r="GFH28"/>
      <c r="GFI28"/>
      <c r="GFJ28"/>
      <c r="GFK28"/>
      <c r="GFL28"/>
      <c r="GFM28"/>
      <c r="GFN28"/>
      <c r="GFO28"/>
      <c r="GFP28"/>
      <c r="GFQ28"/>
      <c r="GFR28"/>
      <c r="GFS28"/>
      <c r="GFT28"/>
      <c r="GFU28"/>
      <c r="GFV28"/>
      <c r="GFW28"/>
      <c r="GFX28"/>
      <c r="GFY28"/>
      <c r="GFZ28"/>
      <c r="GGA28"/>
      <c r="GGB28"/>
      <c r="GGC28"/>
      <c r="GGD28"/>
      <c r="GGE28"/>
      <c r="GGF28"/>
      <c r="GGG28"/>
      <c r="GGH28"/>
      <c r="GGI28"/>
      <c r="GGJ28"/>
      <c r="GGK28"/>
      <c r="GGL28"/>
      <c r="GGM28"/>
      <c r="GGN28"/>
      <c r="GGO28"/>
      <c r="GGP28"/>
      <c r="GGQ28"/>
      <c r="GGR28"/>
      <c r="GGS28"/>
      <c r="GGT28"/>
      <c r="GGU28"/>
      <c r="GGV28"/>
      <c r="GGW28"/>
      <c r="GGX28"/>
      <c r="GGY28"/>
      <c r="GGZ28"/>
      <c r="GHA28"/>
      <c r="GHB28"/>
      <c r="GHC28"/>
      <c r="GHD28"/>
      <c r="GHE28"/>
      <c r="GHF28"/>
      <c r="GHG28"/>
      <c r="GHH28"/>
      <c r="GHI28"/>
      <c r="GHJ28"/>
      <c r="GHK28"/>
      <c r="GHL28"/>
      <c r="GHM28"/>
      <c r="GHN28"/>
      <c r="GHO28"/>
      <c r="GHP28"/>
      <c r="GHQ28"/>
      <c r="GHR28"/>
      <c r="GHS28"/>
      <c r="GHT28"/>
      <c r="GHU28"/>
      <c r="GHV28"/>
      <c r="GHW28"/>
      <c r="GHX28"/>
      <c r="GHY28"/>
      <c r="GHZ28"/>
      <c r="GIA28"/>
      <c r="GIB28"/>
      <c r="GIC28"/>
      <c r="GID28"/>
      <c r="GIE28"/>
      <c r="GIF28"/>
      <c r="GIG28"/>
      <c r="GIH28"/>
      <c r="GII28"/>
      <c r="GIJ28"/>
      <c r="GIK28"/>
      <c r="GIL28"/>
      <c r="GIM28"/>
      <c r="GIN28"/>
      <c r="GIO28"/>
      <c r="GIP28"/>
      <c r="GIQ28"/>
      <c r="GIR28"/>
      <c r="GIS28"/>
      <c r="GIT28"/>
      <c r="GIU28"/>
      <c r="GIV28"/>
      <c r="GIW28"/>
      <c r="GIX28"/>
      <c r="GIY28"/>
      <c r="GIZ28"/>
      <c r="GJA28"/>
      <c r="GJB28"/>
      <c r="GJC28"/>
      <c r="GJD28"/>
      <c r="GJE28"/>
      <c r="GJF28"/>
      <c r="GJG28"/>
      <c r="GJH28"/>
      <c r="GJI28"/>
      <c r="GJJ28"/>
      <c r="GJK28"/>
      <c r="GJL28"/>
      <c r="GJM28"/>
      <c r="GJN28"/>
      <c r="GJO28"/>
      <c r="GJP28"/>
      <c r="GJQ28"/>
      <c r="GJR28"/>
      <c r="GJS28"/>
      <c r="GJT28"/>
      <c r="GJU28"/>
      <c r="GJV28"/>
      <c r="GJW28"/>
      <c r="GJX28"/>
      <c r="GJY28"/>
      <c r="GJZ28"/>
      <c r="GKA28"/>
      <c r="GKB28"/>
      <c r="GKC28"/>
      <c r="GKD28"/>
      <c r="GKE28"/>
      <c r="GKF28"/>
      <c r="GKG28"/>
      <c r="GKH28"/>
      <c r="GKI28"/>
      <c r="GKJ28"/>
      <c r="GKK28"/>
      <c r="GKL28"/>
      <c r="GKM28"/>
      <c r="GKN28"/>
      <c r="GKO28"/>
      <c r="GKP28"/>
      <c r="GKQ28"/>
      <c r="GKR28"/>
      <c r="GKS28"/>
      <c r="GKT28"/>
      <c r="GKU28"/>
      <c r="GKV28"/>
      <c r="GKW28"/>
      <c r="GKX28"/>
      <c r="GKY28"/>
      <c r="GKZ28"/>
      <c r="GLA28"/>
      <c r="GLB28"/>
      <c r="GLC28"/>
      <c r="GLD28"/>
      <c r="GLE28"/>
      <c r="GLF28"/>
      <c r="GLG28"/>
      <c r="GLH28"/>
      <c r="GLI28"/>
      <c r="GLJ28"/>
      <c r="GLK28"/>
      <c r="GLL28"/>
      <c r="GLM28"/>
      <c r="GLN28"/>
      <c r="GLO28"/>
      <c r="GLP28"/>
      <c r="GLQ28"/>
      <c r="GLR28"/>
      <c r="GLS28"/>
      <c r="GLT28"/>
      <c r="GLU28"/>
      <c r="GLV28"/>
      <c r="GLW28"/>
      <c r="GLX28"/>
      <c r="GLY28"/>
      <c r="GLZ28"/>
      <c r="GMA28"/>
      <c r="GMB28"/>
      <c r="GMC28"/>
      <c r="GMD28"/>
      <c r="GME28"/>
      <c r="GMF28"/>
      <c r="GMG28"/>
      <c r="GMH28"/>
      <c r="GMI28"/>
      <c r="GMJ28"/>
      <c r="GMK28"/>
      <c r="GML28"/>
      <c r="GMM28"/>
      <c r="GMN28"/>
      <c r="GMO28"/>
      <c r="GMP28"/>
      <c r="GMQ28"/>
      <c r="GMR28"/>
      <c r="GMS28"/>
      <c r="GMT28"/>
      <c r="GMU28"/>
      <c r="GMV28"/>
      <c r="GMW28"/>
      <c r="GMX28"/>
      <c r="GMY28"/>
      <c r="GMZ28"/>
      <c r="GNA28"/>
      <c r="GNB28"/>
      <c r="GNC28"/>
      <c r="GND28"/>
      <c r="GNE28"/>
      <c r="GNF28"/>
      <c r="GNG28"/>
      <c r="GNH28"/>
      <c r="GNI28"/>
      <c r="GNJ28"/>
      <c r="GNK28"/>
      <c r="GNL28"/>
      <c r="GNM28"/>
      <c r="GNN28"/>
      <c r="GNO28"/>
      <c r="GNP28"/>
      <c r="GNQ28"/>
      <c r="GNR28"/>
      <c r="GNS28"/>
      <c r="GNT28"/>
      <c r="GNU28"/>
      <c r="GNV28"/>
      <c r="GNW28"/>
      <c r="GNX28"/>
      <c r="GNY28"/>
      <c r="GNZ28"/>
      <c r="GOA28"/>
      <c r="GOB28"/>
      <c r="GOC28"/>
      <c r="GOD28"/>
      <c r="GOE28"/>
      <c r="GOF28"/>
      <c r="GOG28"/>
      <c r="GOH28"/>
      <c r="GOI28"/>
      <c r="GOJ28"/>
      <c r="GOK28"/>
      <c r="GOL28"/>
      <c r="GOM28"/>
      <c r="GON28"/>
      <c r="GOO28"/>
      <c r="GOP28"/>
      <c r="GOQ28"/>
      <c r="GOR28"/>
      <c r="GOS28"/>
      <c r="GOT28"/>
      <c r="GOU28"/>
      <c r="GOV28"/>
      <c r="GOW28"/>
      <c r="GOX28"/>
      <c r="GOY28"/>
      <c r="GOZ28"/>
      <c r="GPA28"/>
      <c r="GPB28"/>
      <c r="GPC28"/>
      <c r="GPD28"/>
      <c r="GPE28"/>
      <c r="GPF28"/>
      <c r="GPG28"/>
      <c r="GPH28"/>
      <c r="GPI28"/>
      <c r="GPJ28"/>
      <c r="GPK28"/>
      <c r="GPL28"/>
      <c r="GPM28"/>
      <c r="GPN28"/>
      <c r="GPO28"/>
      <c r="GPP28"/>
      <c r="GPQ28"/>
      <c r="GPR28"/>
      <c r="GPS28"/>
      <c r="GPT28"/>
      <c r="GPU28"/>
      <c r="GPV28"/>
      <c r="GPW28"/>
      <c r="GPX28"/>
      <c r="GPY28"/>
      <c r="GPZ28"/>
      <c r="GQA28"/>
      <c r="GQB28"/>
      <c r="GQC28"/>
      <c r="GQD28"/>
      <c r="GQE28"/>
      <c r="GQF28"/>
      <c r="GQG28"/>
      <c r="GQH28"/>
      <c r="GQI28"/>
      <c r="GQJ28"/>
      <c r="GQK28"/>
      <c r="GQL28"/>
      <c r="GQM28"/>
      <c r="GQN28"/>
      <c r="GQO28"/>
      <c r="GQP28"/>
      <c r="GQQ28"/>
      <c r="GQR28"/>
      <c r="GQS28"/>
      <c r="GQT28"/>
      <c r="GQU28"/>
      <c r="GQV28"/>
      <c r="GQW28"/>
      <c r="GQX28"/>
      <c r="GQY28"/>
      <c r="GQZ28"/>
      <c r="GRA28"/>
      <c r="GRB28"/>
      <c r="GRC28"/>
      <c r="GRD28"/>
      <c r="GRE28"/>
      <c r="GRF28"/>
      <c r="GRG28"/>
      <c r="GRH28"/>
      <c r="GRI28"/>
      <c r="GRJ28"/>
      <c r="GRK28"/>
      <c r="GRL28"/>
      <c r="GRM28"/>
      <c r="GRN28"/>
      <c r="GRO28"/>
      <c r="GRP28"/>
      <c r="GRQ28"/>
      <c r="GRR28"/>
      <c r="GRS28"/>
      <c r="GRT28"/>
      <c r="GRU28"/>
      <c r="GRV28"/>
      <c r="GRW28"/>
      <c r="GRX28"/>
      <c r="GRY28"/>
      <c r="GRZ28"/>
      <c r="GSA28"/>
      <c r="GSB28"/>
      <c r="GSC28"/>
      <c r="GSD28"/>
      <c r="GSE28"/>
      <c r="GSF28"/>
      <c r="GSG28"/>
      <c r="GSH28"/>
      <c r="GSI28"/>
      <c r="GSJ28"/>
      <c r="GSK28"/>
      <c r="GSL28"/>
      <c r="GSM28"/>
      <c r="GSN28"/>
      <c r="GSO28"/>
      <c r="GSP28"/>
      <c r="GSQ28"/>
      <c r="GSR28"/>
      <c r="GSS28"/>
      <c r="GST28"/>
      <c r="GSU28"/>
      <c r="GSV28"/>
      <c r="GSW28"/>
      <c r="GSX28"/>
      <c r="GSY28"/>
      <c r="GSZ28"/>
      <c r="GTA28"/>
      <c r="GTB28"/>
      <c r="GTC28"/>
      <c r="GTD28"/>
      <c r="GTE28"/>
      <c r="GTF28"/>
      <c r="GTG28"/>
      <c r="GTH28"/>
      <c r="GTI28"/>
      <c r="GTJ28"/>
      <c r="GTK28"/>
      <c r="GTL28"/>
      <c r="GTM28"/>
      <c r="GTN28"/>
      <c r="GTO28"/>
      <c r="GTP28"/>
      <c r="GTQ28"/>
      <c r="GTR28"/>
      <c r="GTS28"/>
      <c r="GTT28"/>
      <c r="GTU28"/>
      <c r="GTV28"/>
      <c r="GTW28"/>
      <c r="GTX28"/>
      <c r="GTY28"/>
      <c r="GTZ28"/>
      <c r="GUA28"/>
      <c r="GUB28"/>
      <c r="GUC28"/>
      <c r="GUD28"/>
      <c r="GUE28"/>
      <c r="GUF28"/>
      <c r="GUG28"/>
      <c r="GUH28"/>
      <c r="GUI28"/>
      <c r="GUJ28"/>
      <c r="GUK28"/>
      <c r="GUL28"/>
      <c r="GUM28"/>
      <c r="GUN28"/>
      <c r="GUO28"/>
      <c r="GUP28"/>
      <c r="GUQ28"/>
      <c r="GUR28"/>
      <c r="GUS28"/>
      <c r="GUT28"/>
      <c r="GUU28"/>
      <c r="GUV28"/>
      <c r="GUW28"/>
      <c r="GUX28"/>
      <c r="GUY28"/>
      <c r="GUZ28"/>
      <c r="GVA28"/>
      <c r="GVB28"/>
      <c r="GVC28"/>
      <c r="GVD28"/>
      <c r="GVE28"/>
      <c r="GVF28"/>
      <c r="GVG28"/>
      <c r="GVH28"/>
      <c r="GVI28"/>
      <c r="GVJ28"/>
      <c r="GVK28"/>
      <c r="GVL28"/>
      <c r="GVM28"/>
      <c r="GVN28"/>
      <c r="GVO28"/>
      <c r="GVP28"/>
      <c r="GVQ28"/>
      <c r="GVR28"/>
      <c r="GVS28"/>
      <c r="GVT28"/>
      <c r="GVU28"/>
      <c r="GVV28"/>
      <c r="GVW28"/>
      <c r="GVX28"/>
      <c r="GVY28"/>
      <c r="GVZ28"/>
      <c r="GWA28"/>
      <c r="GWB28"/>
      <c r="GWC28"/>
      <c r="GWD28"/>
      <c r="GWE28"/>
      <c r="GWF28"/>
      <c r="GWG28"/>
      <c r="GWH28"/>
      <c r="GWI28"/>
      <c r="GWJ28"/>
      <c r="GWK28"/>
      <c r="GWL28"/>
      <c r="GWM28"/>
      <c r="GWN28"/>
      <c r="GWO28"/>
      <c r="GWP28"/>
      <c r="GWQ28"/>
      <c r="GWR28"/>
      <c r="GWS28"/>
      <c r="GWT28"/>
      <c r="GWU28"/>
      <c r="GWV28"/>
      <c r="GWW28"/>
      <c r="GWX28"/>
      <c r="GWY28"/>
      <c r="GWZ28"/>
      <c r="GXA28"/>
      <c r="GXB28"/>
      <c r="GXC28"/>
      <c r="GXD28"/>
      <c r="GXE28"/>
      <c r="GXF28"/>
      <c r="GXG28"/>
      <c r="GXH28"/>
      <c r="GXI28"/>
      <c r="GXJ28"/>
      <c r="GXK28"/>
      <c r="GXL28"/>
      <c r="GXM28"/>
      <c r="GXN28"/>
      <c r="GXO28"/>
      <c r="GXP28"/>
      <c r="GXQ28"/>
      <c r="GXR28"/>
      <c r="GXS28"/>
      <c r="GXT28"/>
      <c r="GXU28"/>
      <c r="GXV28"/>
      <c r="GXW28"/>
      <c r="GXX28"/>
      <c r="GXY28"/>
      <c r="GXZ28"/>
      <c r="GYA28"/>
      <c r="GYB28"/>
      <c r="GYC28"/>
      <c r="GYD28"/>
      <c r="GYE28"/>
      <c r="GYF28"/>
      <c r="GYG28"/>
      <c r="GYH28"/>
      <c r="GYI28"/>
      <c r="GYJ28"/>
      <c r="GYK28"/>
      <c r="GYL28"/>
      <c r="GYM28"/>
      <c r="GYN28"/>
      <c r="GYO28"/>
      <c r="GYP28"/>
      <c r="GYQ28"/>
      <c r="GYR28"/>
      <c r="GYS28"/>
      <c r="GYT28"/>
      <c r="GYU28"/>
      <c r="GYV28"/>
      <c r="GYW28"/>
      <c r="GYX28"/>
      <c r="GYY28"/>
      <c r="GYZ28"/>
      <c r="GZA28"/>
      <c r="GZB28"/>
      <c r="GZC28"/>
      <c r="GZD28"/>
      <c r="GZE28"/>
      <c r="GZF28"/>
      <c r="GZG28"/>
      <c r="GZH28"/>
      <c r="GZI28"/>
      <c r="GZJ28"/>
      <c r="GZK28"/>
      <c r="GZL28"/>
      <c r="GZM28"/>
      <c r="GZN28"/>
      <c r="GZO28"/>
      <c r="GZP28"/>
      <c r="GZQ28"/>
      <c r="GZR28"/>
      <c r="GZS28"/>
      <c r="GZT28"/>
      <c r="GZU28"/>
      <c r="GZV28"/>
      <c r="GZW28"/>
      <c r="GZX28"/>
      <c r="GZY28"/>
      <c r="GZZ28"/>
      <c r="HAA28"/>
      <c r="HAB28"/>
      <c r="HAC28"/>
      <c r="HAD28"/>
      <c r="HAE28"/>
      <c r="HAF28"/>
      <c r="HAG28"/>
      <c r="HAH28"/>
      <c r="HAI28"/>
      <c r="HAJ28"/>
      <c r="HAK28"/>
      <c r="HAL28"/>
      <c r="HAM28"/>
      <c r="HAN28"/>
      <c r="HAO28"/>
      <c r="HAP28"/>
      <c r="HAQ28"/>
      <c r="HAR28"/>
      <c r="HAS28"/>
      <c r="HAT28"/>
      <c r="HAU28"/>
      <c r="HAV28"/>
      <c r="HAW28"/>
      <c r="HAX28"/>
      <c r="HAY28"/>
      <c r="HAZ28"/>
      <c r="HBA28"/>
      <c r="HBB28"/>
      <c r="HBC28"/>
      <c r="HBD28"/>
      <c r="HBE28"/>
      <c r="HBF28"/>
      <c r="HBG28"/>
      <c r="HBH28"/>
      <c r="HBI28"/>
      <c r="HBJ28"/>
      <c r="HBK28"/>
      <c r="HBL28"/>
      <c r="HBM28"/>
      <c r="HBN28"/>
      <c r="HBO28"/>
      <c r="HBP28"/>
      <c r="HBQ28"/>
      <c r="HBR28"/>
      <c r="HBS28"/>
      <c r="HBT28"/>
      <c r="HBU28"/>
      <c r="HBV28"/>
      <c r="HBW28"/>
      <c r="HBX28"/>
      <c r="HBY28"/>
      <c r="HBZ28"/>
      <c r="HCA28"/>
      <c r="HCB28"/>
      <c r="HCC28"/>
      <c r="HCD28"/>
      <c r="HCE28"/>
      <c r="HCF28"/>
      <c r="HCG28"/>
      <c r="HCH28"/>
      <c r="HCI28"/>
      <c r="HCJ28"/>
      <c r="HCK28"/>
      <c r="HCL28"/>
      <c r="HCM28"/>
      <c r="HCN28"/>
      <c r="HCO28"/>
      <c r="HCP28"/>
      <c r="HCQ28"/>
      <c r="HCR28"/>
      <c r="HCS28"/>
      <c r="HCT28"/>
      <c r="HCU28"/>
      <c r="HCV28"/>
      <c r="HCW28"/>
      <c r="HCX28"/>
      <c r="HCY28"/>
      <c r="HCZ28"/>
      <c r="HDA28"/>
      <c r="HDB28"/>
      <c r="HDC28"/>
      <c r="HDD28"/>
      <c r="HDE28"/>
      <c r="HDF28"/>
      <c r="HDG28"/>
      <c r="HDH28"/>
      <c r="HDI28"/>
      <c r="HDJ28"/>
      <c r="HDK28"/>
      <c r="HDL28"/>
      <c r="HDM28"/>
      <c r="HDN28"/>
      <c r="HDO28"/>
      <c r="HDP28"/>
      <c r="HDQ28"/>
      <c r="HDR28"/>
      <c r="HDS28"/>
      <c r="HDT28"/>
      <c r="HDU28"/>
      <c r="HDV28"/>
      <c r="HDW28"/>
      <c r="HDX28"/>
      <c r="HDY28"/>
      <c r="HDZ28"/>
      <c r="HEA28"/>
      <c r="HEB28"/>
      <c r="HEC28"/>
      <c r="HED28"/>
      <c r="HEE28"/>
      <c r="HEF28"/>
      <c r="HEG28"/>
      <c r="HEH28"/>
      <c r="HEI28"/>
      <c r="HEJ28"/>
      <c r="HEK28"/>
      <c r="HEL28"/>
      <c r="HEM28"/>
      <c r="HEN28"/>
      <c r="HEO28"/>
      <c r="HEP28"/>
      <c r="HEQ28"/>
      <c r="HER28"/>
      <c r="HES28"/>
      <c r="HET28"/>
      <c r="HEU28"/>
      <c r="HEV28"/>
      <c r="HEW28"/>
      <c r="HEX28"/>
      <c r="HEY28"/>
      <c r="HEZ28"/>
      <c r="HFA28"/>
      <c r="HFB28"/>
      <c r="HFC28"/>
      <c r="HFD28"/>
      <c r="HFE28"/>
      <c r="HFF28"/>
      <c r="HFG28"/>
      <c r="HFH28"/>
      <c r="HFI28"/>
      <c r="HFJ28"/>
      <c r="HFK28"/>
      <c r="HFL28"/>
      <c r="HFM28"/>
      <c r="HFN28"/>
      <c r="HFO28"/>
      <c r="HFP28"/>
      <c r="HFQ28"/>
      <c r="HFR28"/>
      <c r="HFS28"/>
      <c r="HFT28"/>
      <c r="HFU28"/>
      <c r="HFV28"/>
      <c r="HFW28"/>
      <c r="HFX28"/>
      <c r="HFY28"/>
      <c r="HFZ28"/>
      <c r="HGA28"/>
      <c r="HGB28"/>
      <c r="HGC28"/>
      <c r="HGD28"/>
      <c r="HGE28"/>
      <c r="HGF28"/>
      <c r="HGG28"/>
      <c r="HGH28"/>
      <c r="HGI28"/>
      <c r="HGJ28"/>
      <c r="HGK28"/>
      <c r="HGL28"/>
      <c r="HGM28"/>
      <c r="HGN28"/>
      <c r="HGO28"/>
      <c r="HGP28"/>
      <c r="HGQ28"/>
      <c r="HGR28"/>
      <c r="HGS28"/>
      <c r="HGT28"/>
      <c r="HGU28"/>
      <c r="HGV28"/>
      <c r="HGW28"/>
      <c r="HGX28"/>
      <c r="HGY28"/>
      <c r="HGZ28"/>
      <c r="HHA28"/>
      <c r="HHB28"/>
      <c r="HHC28"/>
      <c r="HHD28"/>
      <c r="HHE28"/>
      <c r="HHF28"/>
      <c r="HHG28"/>
      <c r="HHH28"/>
      <c r="HHI28"/>
      <c r="HHJ28"/>
      <c r="HHK28"/>
      <c r="HHL28"/>
      <c r="HHM28"/>
      <c r="HHN28"/>
      <c r="HHO28"/>
      <c r="HHP28"/>
      <c r="HHQ28"/>
      <c r="HHR28"/>
      <c r="HHS28"/>
      <c r="HHT28"/>
      <c r="HHU28"/>
      <c r="HHV28"/>
      <c r="HHW28"/>
      <c r="HHX28"/>
      <c r="HHY28"/>
      <c r="HHZ28"/>
      <c r="HIA28"/>
      <c r="HIB28"/>
      <c r="HIC28"/>
      <c r="HID28"/>
      <c r="HIE28"/>
      <c r="HIF28"/>
      <c r="HIG28"/>
      <c r="HIH28"/>
      <c r="HII28"/>
      <c r="HIJ28"/>
      <c r="HIK28"/>
      <c r="HIL28"/>
      <c r="HIM28"/>
      <c r="HIN28"/>
      <c r="HIO28"/>
      <c r="HIP28"/>
      <c r="HIQ28"/>
      <c r="HIR28"/>
      <c r="HIS28"/>
      <c r="HIT28"/>
      <c r="HIU28"/>
      <c r="HIV28"/>
      <c r="HIW28"/>
      <c r="HIX28"/>
      <c r="HIY28"/>
      <c r="HIZ28"/>
      <c r="HJA28"/>
      <c r="HJB28"/>
      <c r="HJC28"/>
      <c r="HJD28"/>
      <c r="HJE28"/>
      <c r="HJF28"/>
      <c r="HJG28"/>
      <c r="HJH28"/>
      <c r="HJI28"/>
      <c r="HJJ28"/>
      <c r="HJK28"/>
      <c r="HJL28"/>
      <c r="HJM28"/>
      <c r="HJN28"/>
      <c r="HJO28"/>
      <c r="HJP28"/>
      <c r="HJQ28"/>
      <c r="HJR28"/>
      <c r="HJS28"/>
      <c r="HJT28"/>
      <c r="HJU28"/>
      <c r="HJV28"/>
      <c r="HJW28"/>
      <c r="HJX28"/>
      <c r="HJY28"/>
      <c r="HJZ28"/>
      <c r="HKA28"/>
      <c r="HKB28"/>
      <c r="HKC28"/>
      <c r="HKD28"/>
      <c r="HKE28"/>
      <c r="HKF28"/>
      <c r="HKG28"/>
      <c r="HKH28"/>
      <c r="HKI28"/>
      <c r="HKJ28"/>
      <c r="HKK28"/>
      <c r="HKL28"/>
      <c r="HKM28"/>
      <c r="HKN28"/>
      <c r="HKO28"/>
      <c r="HKP28"/>
      <c r="HKQ28"/>
      <c r="HKR28"/>
      <c r="HKS28"/>
      <c r="HKT28"/>
      <c r="HKU28"/>
      <c r="HKV28"/>
      <c r="HKW28"/>
      <c r="HKX28"/>
      <c r="HKY28"/>
      <c r="HKZ28"/>
      <c r="HLA28"/>
      <c r="HLB28"/>
      <c r="HLC28"/>
      <c r="HLD28"/>
      <c r="HLE28"/>
      <c r="HLF28"/>
      <c r="HLG28"/>
      <c r="HLH28"/>
      <c r="HLI28"/>
      <c r="HLJ28"/>
      <c r="HLK28"/>
      <c r="HLL28"/>
      <c r="HLM28"/>
      <c r="HLN28"/>
      <c r="HLO28"/>
      <c r="HLP28"/>
      <c r="HLQ28"/>
      <c r="HLR28"/>
      <c r="HLS28"/>
      <c r="HLT28"/>
      <c r="HLU28"/>
      <c r="HLV28"/>
      <c r="HLW28"/>
      <c r="HLX28"/>
      <c r="HLY28"/>
      <c r="HLZ28"/>
      <c r="HMA28"/>
      <c r="HMB28"/>
      <c r="HMC28"/>
      <c r="HMD28"/>
      <c r="HME28"/>
      <c r="HMF28"/>
      <c r="HMG28"/>
      <c r="HMH28"/>
      <c r="HMI28"/>
      <c r="HMJ28"/>
      <c r="HMK28"/>
      <c r="HML28"/>
      <c r="HMM28"/>
      <c r="HMN28"/>
      <c r="HMO28"/>
      <c r="HMP28"/>
      <c r="HMQ28"/>
      <c r="HMR28"/>
      <c r="HMS28"/>
      <c r="HMT28"/>
      <c r="HMU28"/>
      <c r="HMV28"/>
      <c r="HMW28"/>
      <c r="HMX28"/>
      <c r="HMY28"/>
      <c r="HMZ28"/>
      <c r="HNA28"/>
      <c r="HNB28"/>
      <c r="HNC28"/>
      <c r="HND28"/>
      <c r="HNE28"/>
      <c r="HNF28"/>
      <c r="HNG28"/>
      <c r="HNH28"/>
      <c r="HNI28"/>
      <c r="HNJ28"/>
      <c r="HNK28"/>
      <c r="HNL28"/>
      <c r="HNM28"/>
      <c r="HNN28"/>
      <c r="HNO28"/>
      <c r="HNP28"/>
      <c r="HNQ28"/>
      <c r="HNR28"/>
      <c r="HNS28"/>
      <c r="HNT28"/>
      <c r="HNU28"/>
      <c r="HNV28"/>
      <c r="HNW28"/>
      <c r="HNX28"/>
      <c r="HNY28"/>
      <c r="HNZ28"/>
      <c r="HOA28"/>
      <c r="HOB28"/>
      <c r="HOC28"/>
      <c r="HOD28"/>
      <c r="HOE28"/>
      <c r="HOF28"/>
      <c r="HOG28"/>
      <c r="HOH28"/>
      <c r="HOI28"/>
      <c r="HOJ28"/>
      <c r="HOK28"/>
      <c r="HOL28"/>
      <c r="HOM28"/>
      <c r="HON28"/>
      <c r="HOO28"/>
      <c r="HOP28"/>
      <c r="HOQ28"/>
      <c r="HOR28"/>
      <c r="HOS28"/>
      <c r="HOT28"/>
      <c r="HOU28"/>
      <c r="HOV28"/>
      <c r="HOW28"/>
      <c r="HOX28"/>
      <c r="HOY28"/>
      <c r="HOZ28"/>
      <c r="HPA28"/>
      <c r="HPB28"/>
      <c r="HPC28"/>
      <c r="HPD28"/>
      <c r="HPE28"/>
      <c r="HPF28"/>
      <c r="HPG28"/>
      <c r="HPH28"/>
      <c r="HPI28"/>
      <c r="HPJ28"/>
      <c r="HPK28"/>
      <c r="HPL28"/>
      <c r="HPM28"/>
      <c r="HPN28"/>
      <c r="HPO28"/>
      <c r="HPP28"/>
      <c r="HPQ28"/>
      <c r="HPR28"/>
      <c r="HPS28"/>
      <c r="HPT28"/>
      <c r="HPU28"/>
      <c r="HPV28"/>
      <c r="HPW28"/>
      <c r="HPX28"/>
      <c r="HPY28"/>
      <c r="HPZ28"/>
      <c r="HQA28"/>
      <c r="HQB28"/>
      <c r="HQC28"/>
      <c r="HQD28"/>
      <c r="HQE28"/>
      <c r="HQF28"/>
      <c r="HQG28"/>
      <c r="HQH28"/>
      <c r="HQI28"/>
      <c r="HQJ28"/>
      <c r="HQK28"/>
      <c r="HQL28"/>
      <c r="HQM28"/>
      <c r="HQN28"/>
      <c r="HQO28"/>
      <c r="HQP28"/>
      <c r="HQQ28"/>
      <c r="HQR28"/>
      <c r="HQS28"/>
      <c r="HQT28"/>
      <c r="HQU28"/>
      <c r="HQV28"/>
      <c r="HQW28"/>
      <c r="HQX28"/>
      <c r="HQY28"/>
      <c r="HQZ28"/>
      <c r="HRA28"/>
      <c r="HRB28"/>
      <c r="HRC28"/>
      <c r="HRD28"/>
      <c r="HRE28"/>
      <c r="HRF28"/>
      <c r="HRG28"/>
      <c r="HRH28"/>
      <c r="HRI28"/>
      <c r="HRJ28"/>
      <c r="HRK28"/>
      <c r="HRL28"/>
      <c r="HRM28"/>
      <c r="HRN28"/>
      <c r="HRO28"/>
      <c r="HRP28"/>
      <c r="HRQ28"/>
      <c r="HRR28"/>
      <c r="HRS28"/>
      <c r="HRT28"/>
      <c r="HRU28"/>
      <c r="HRV28"/>
      <c r="HRW28"/>
      <c r="HRX28"/>
      <c r="HRY28"/>
      <c r="HRZ28"/>
      <c r="HSA28"/>
      <c r="HSB28"/>
      <c r="HSC28"/>
      <c r="HSD28"/>
      <c r="HSE28"/>
      <c r="HSF28"/>
      <c r="HSG28"/>
      <c r="HSH28"/>
      <c r="HSI28"/>
      <c r="HSJ28"/>
      <c r="HSK28"/>
      <c r="HSL28"/>
      <c r="HSM28"/>
      <c r="HSN28"/>
      <c r="HSO28"/>
      <c r="HSP28"/>
      <c r="HSQ28"/>
      <c r="HSR28"/>
      <c r="HSS28"/>
      <c r="HST28"/>
      <c r="HSU28"/>
      <c r="HSV28"/>
      <c r="HSW28"/>
      <c r="HSX28"/>
      <c r="HSY28"/>
      <c r="HSZ28"/>
      <c r="HTA28"/>
      <c r="HTB28"/>
      <c r="HTC28"/>
      <c r="HTD28"/>
      <c r="HTE28"/>
      <c r="HTF28"/>
      <c r="HTG28"/>
      <c r="HTH28"/>
      <c r="HTI28"/>
      <c r="HTJ28"/>
      <c r="HTK28"/>
      <c r="HTL28"/>
      <c r="HTM28"/>
      <c r="HTN28"/>
      <c r="HTO28"/>
      <c r="HTP28"/>
      <c r="HTQ28"/>
      <c r="HTR28"/>
      <c r="HTS28"/>
      <c r="HTT28"/>
      <c r="HTU28"/>
      <c r="HTV28"/>
      <c r="HTW28"/>
      <c r="HTX28"/>
      <c r="HTY28"/>
      <c r="HTZ28"/>
      <c r="HUA28"/>
      <c r="HUB28"/>
      <c r="HUC28"/>
      <c r="HUD28"/>
      <c r="HUE28"/>
      <c r="HUF28"/>
      <c r="HUG28"/>
      <c r="HUH28"/>
      <c r="HUI28"/>
      <c r="HUJ28"/>
      <c r="HUK28"/>
      <c r="HUL28"/>
      <c r="HUM28"/>
      <c r="HUN28"/>
      <c r="HUO28"/>
      <c r="HUP28"/>
      <c r="HUQ28"/>
      <c r="HUR28"/>
      <c r="HUS28"/>
      <c r="HUT28"/>
      <c r="HUU28"/>
      <c r="HUV28"/>
      <c r="HUW28"/>
      <c r="HUX28"/>
      <c r="HUY28"/>
      <c r="HUZ28"/>
      <c r="HVA28"/>
      <c r="HVB28"/>
      <c r="HVC28"/>
      <c r="HVD28"/>
      <c r="HVE28"/>
      <c r="HVF28"/>
      <c r="HVG28"/>
      <c r="HVH28"/>
      <c r="HVI28"/>
      <c r="HVJ28"/>
      <c r="HVK28"/>
      <c r="HVL28"/>
      <c r="HVM28"/>
      <c r="HVN28"/>
      <c r="HVO28"/>
      <c r="HVP28"/>
      <c r="HVQ28"/>
      <c r="HVR28"/>
      <c r="HVS28"/>
      <c r="HVT28"/>
      <c r="HVU28"/>
      <c r="HVV28"/>
      <c r="HVW28"/>
      <c r="HVX28"/>
      <c r="HVY28"/>
      <c r="HVZ28"/>
      <c r="HWA28"/>
      <c r="HWB28"/>
      <c r="HWC28"/>
      <c r="HWD28"/>
      <c r="HWE28"/>
      <c r="HWF28"/>
      <c r="HWG28"/>
      <c r="HWH28"/>
      <c r="HWI28"/>
      <c r="HWJ28"/>
      <c r="HWK28"/>
      <c r="HWL28"/>
      <c r="HWM28"/>
      <c r="HWN28"/>
      <c r="HWO28"/>
      <c r="HWP28"/>
      <c r="HWQ28"/>
      <c r="HWR28"/>
      <c r="HWS28"/>
      <c r="HWT28"/>
      <c r="HWU28"/>
      <c r="HWV28"/>
      <c r="HWW28"/>
      <c r="HWX28"/>
      <c r="HWY28"/>
      <c r="HWZ28"/>
      <c r="HXA28"/>
      <c r="HXB28"/>
      <c r="HXC28"/>
      <c r="HXD28"/>
      <c r="HXE28"/>
      <c r="HXF28"/>
      <c r="HXG28"/>
      <c r="HXH28"/>
      <c r="HXI28"/>
      <c r="HXJ28"/>
      <c r="HXK28"/>
      <c r="HXL28"/>
      <c r="HXM28"/>
      <c r="HXN28"/>
      <c r="HXO28"/>
      <c r="HXP28"/>
      <c r="HXQ28"/>
      <c r="HXR28"/>
      <c r="HXS28"/>
      <c r="HXT28"/>
      <c r="HXU28"/>
      <c r="HXV28"/>
      <c r="HXW28"/>
      <c r="HXX28"/>
      <c r="HXY28"/>
      <c r="HXZ28"/>
      <c r="HYA28"/>
      <c r="HYB28"/>
      <c r="HYC28"/>
      <c r="HYD28"/>
      <c r="HYE28"/>
      <c r="HYF28"/>
      <c r="HYG28"/>
      <c r="HYH28"/>
      <c r="HYI28"/>
      <c r="HYJ28"/>
      <c r="HYK28"/>
      <c r="HYL28"/>
      <c r="HYM28"/>
      <c r="HYN28"/>
      <c r="HYO28"/>
      <c r="HYP28"/>
      <c r="HYQ28"/>
      <c r="HYR28"/>
      <c r="HYS28"/>
      <c r="HYT28"/>
      <c r="HYU28"/>
      <c r="HYV28"/>
      <c r="HYW28"/>
      <c r="HYX28"/>
      <c r="HYY28"/>
      <c r="HYZ28"/>
      <c r="HZA28"/>
      <c r="HZB28"/>
      <c r="HZC28"/>
      <c r="HZD28"/>
      <c r="HZE28"/>
      <c r="HZF28"/>
      <c r="HZG28"/>
      <c r="HZH28"/>
      <c r="HZI28"/>
      <c r="HZJ28"/>
      <c r="HZK28"/>
      <c r="HZL28"/>
      <c r="HZM28"/>
      <c r="HZN28"/>
      <c r="HZO28"/>
      <c r="HZP28"/>
      <c r="HZQ28"/>
      <c r="HZR28"/>
      <c r="HZS28"/>
      <c r="HZT28"/>
      <c r="HZU28"/>
      <c r="HZV28"/>
      <c r="HZW28"/>
      <c r="HZX28"/>
      <c r="HZY28"/>
      <c r="HZZ28"/>
      <c r="IAA28"/>
      <c r="IAB28"/>
      <c r="IAC28"/>
      <c r="IAD28"/>
      <c r="IAE28"/>
      <c r="IAF28"/>
      <c r="IAG28"/>
      <c r="IAH28"/>
      <c r="IAI28"/>
      <c r="IAJ28"/>
      <c r="IAK28"/>
      <c r="IAL28"/>
      <c r="IAM28"/>
      <c r="IAN28"/>
      <c r="IAO28"/>
      <c r="IAP28"/>
      <c r="IAQ28"/>
      <c r="IAR28"/>
      <c r="IAS28"/>
      <c r="IAT28"/>
      <c r="IAU28"/>
      <c r="IAV28"/>
      <c r="IAW28"/>
      <c r="IAX28"/>
      <c r="IAY28"/>
      <c r="IAZ28"/>
      <c r="IBA28"/>
      <c r="IBB28"/>
      <c r="IBC28"/>
      <c r="IBD28"/>
      <c r="IBE28"/>
      <c r="IBF28"/>
      <c r="IBG28"/>
      <c r="IBH28"/>
      <c r="IBI28"/>
      <c r="IBJ28"/>
      <c r="IBK28"/>
      <c r="IBL28"/>
      <c r="IBM28"/>
      <c r="IBN28"/>
      <c r="IBO28"/>
      <c r="IBP28"/>
      <c r="IBQ28"/>
      <c r="IBR28"/>
      <c r="IBS28"/>
      <c r="IBT28"/>
      <c r="IBU28"/>
      <c r="IBV28"/>
      <c r="IBW28"/>
      <c r="IBX28"/>
      <c r="IBY28"/>
      <c r="IBZ28"/>
      <c r="ICA28"/>
      <c r="ICB28"/>
      <c r="ICC28"/>
      <c r="ICD28"/>
      <c r="ICE28"/>
      <c r="ICF28"/>
      <c r="ICG28"/>
      <c r="ICH28"/>
      <c r="ICI28"/>
      <c r="ICJ28"/>
      <c r="ICK28"/>
      <c r="ICL28"/>
      <c r="ICM28"/>
      <c r="ICN28"/>
      <c r="ICO28"/>
      <c r="ICP28"/>
      <c r="ICQ28"/>
      <c r="ICR28"/>
      <c r="ICS28"/>
      <c r="ICT28"/>
      <c r="ICU28"/>
      <c r="ICV28"/>
      <c r="ICW28"/>
      <c r="ICX28"/>
      <c r="ICY28"/>
      <c r="ICZ28"/>
      <c r="IDA28"/>
      <c r="IDB28"/>
      <c r="IDC28"/>
      <c r="IDD28"/>
      <c r="IDE28"/>
      <c r="IDF28"/>
      <c r="IDG28"/>
      <c r="IDH28"/>
      <c r="IDI28"/>
      <c r="IDJ28"/>
      <c r="IDK28"/>
      <c r="IDL28"/>
      <c r="IDM28"/>
      <c r="IDN28"/>
      <c r="IDO28"/>
      <c r="IDP28"/>
      <c r="IDQ28"/>
      <c r="IDR28"/>
      <c r="IDS28"/>
      <c r="IDT28"/>
      <c r="IDU28"/>
      <c r="IDV28"/>
      <c r="IDW28"/>
      <c r="IDX28"/>
      <c r="IDY28"/>
      <c r="IDZ28"/>
      <c r="IEA28"/>
      <c r="IEB28"/>
      <c r="IEC28"/>
      <c r="IED28"/>
      <c r="IEE28"/>
      <c r="IEF28"/>
      <c r="IEG28"/>
      <c r="IEH28"/>
      <c r="IEI28"/>
      <c r="IEJ28"/>
      <c r="IEK28"/>
      <c r="IEL28"/>
      <c r="IEM28"/>
      <c r="IEN28"/>
      <c r="IEO28"/>
      <c r="IEP28"/>
      <c r="IEQ28"/>
      <c r="IER28"/>
      <c r="IES28"/>
      <c r="IET28"/>
      <c r="IEU28"/>
      <c r="IEV28"/>
      <c r="IEW28"/>
      <c r="IEX28"/>
      <c r="IEY28"/>
      <c r="IEZ28"/>
      <c r="IFA28"/>
      <c r="IFB28"/>
      <c r="IFC28"/>
      <c r="IFD28"/>
      <c r="IFE28"/>
      <c r="IFF28"/>
      <c r="IFG28"/>
      <c r="IFH28"/>
      <c r="IFI28"/>
      <c r="IFJ28"/>
      <c r="IFK28"/>
      <c r="IFL28"/>
      <c r="IFM28"/>
      <c r="IFN28"/>
      <c r="IFO28"/>
      <c r="IFP28"/>
      <c r="IFQ28"/>
      <c r="IFR28"/>
      <c r="IFS28"/>
      <c r="IFT28"/>
      <c r="IFU28"/>
      <c r="IFV28"/>
      <c r="IFW28"/>
      <c r="IFX28"/>
      <c r="IFY28"/>
      <c r="IFZ28"/>
      <c r="IGA28"/>
      <c r="IGB28"/>
      <c r="IGC28"/>
      <c r="IGD28"/>
      <c r="IGE28"/>
      <c r="IGF28"/>
      <c r="IGG28"/>
      <c r="IGH28"/>
      <c r="IGI28"/>
      <c r="IGJ28"/>
      <c r="IGK28"/>
      <c r="IGL28"/>
      <c r="IGM28"/>
      <c r="IGN28"/>
      <c r="IGO28"/>
      <c r="IGP28"/>
      <c r="IGQ28"/>
      <c r="IGR28"/>
      <c r="IGS28"/>
      <c r="IGT28"/>
      <c r="IGU28"/>
      <c r="IGV28"/>
      <c r="IGW28"/>
      <c r="IGX28"/>
      <c r="IGY28"/>
      <c r="IGZ28"/>
      <c r="IHA28"/>
      <c r="IHB28"/>
      <c r="IHC28"/>
      <c r="IHD28"/>
      <c r="IHE28"/>
      <c r="IHF28"/>
      <c r="IHG28"/>
      <c r="IHH28"/>
      <c r="IHI28"/>
      <c r="IHJ28"/>
      <c r="IHK28"/>
      <c r="IHL28"/>
      <c r="IHM28"/>
      <c r="IHN28"/>
      <c r="IHO28"/>
      <c r="IHP28"/>
      <c r="IHQ28"/>
      <c r="IHR28"/>
      <c r="IHS28"/>
      <c r="IHT28"/>
      <c r="IHU28"/>
      <c r="IHV28"/>
      <c r="IHW28"/>
      <c r="IHX28"/>
      <c r="IHY28"/>
      <c r="IHZ28"/>
      <c r="IIA28"/>
      <c r="IIB28"/>
      <c r="IIC28"/>
      <c r="IID28"/>
      <c r="IIE28"/>
      <c r="IIF28"/>
      <c r="IIG28"/>
      <c r="IIH28"/>
      <c r="III28"/>
      <c r="IIJ28"/>
      <c r="IIK28"/>
      <c r="IIL28"/>
      <c r="IIM28"/>
      <c r="IIN28"/>
      <c r="IIO28"/>
      <c r="IIP28"/>
      <c r="IIQ28"/>
      <c r="IIR28"/>
      <c r="IIS28"/>
      <c r="IIT28"/>
      <c r="IIU28"/>
      <c r="IIV28"/>
      <c r="IIW28"/>
      <c r="IIX28"/>
      <c r="IIY28"/>
      <c r="IIZ28"/>
      <c r="IJA28"/>
      <c r="IJB28"/>
      <c r="IJC28"/>
      <c r="IJD28"/>
      <c r="IJE28"/>
      <c r="IJF28"/>
      <c r="IJG28"/>
      <c r="IJH28"/>
      <c r="IJI28"/>
      <c r="IJJ28"/>
      <c r="IJK28"/>
      <c r="IJL28"/>
      <c r="IJM28"/>
      <c r="IJN28"/>
      <c r="IJO28"/>
      <c r="IJP28"/>
      <c r="IJQ28"/>
      <c r="IJR28"/>
      <c r="IJS28"/>
      <c r="IJT28"/>
      <c r="IJU28"/>
      <c r="IJV28"/>
      <c r="IJW28"/>
      <c r="IJX28"/>
      <c r="IJY28"/>
      <c r="IJZ28"/>
      <c r="IKA28"/>
      <c r="IKB28"/>
      <c r="IKC28"/>
      <c r="IKD28"/>
      <c r="IKE28"/>
      <c r="IKF28"/>
      <c r="IKG28"/>
      <c r="IKH28"/>
      <c r="IKI28"/>
      <c r="IKJ28"/>
      <c r="IKK28"/>
      <c r="IKL28"/>
      <c r="IKM28"/>
      <c r="IKN28"/>
      <c r="IKO28"/>
      <c r="IKP28"/>
      <c r="IKQ28"/>
      <c r="IKR28"/>
      <c r="IKS28"/>
      <c r="IKT28"/>
      <c r="IKU28"/>
      <c r="IKV28"/>
      <c r="IKW28"/>
      <c r="IKX28"/>
      <c r="IKY28"/>
      <c r="IKZ28"/>
      <c r="ILA28"/>
      <c r="ILB28"/>
      <c r="ILC28"/>
      <c r="ILD28"/>
      <c r="ILE28"/>
      <c r="ILF28"/>
      <c r="ILG28"/>
      <c r="ILH28"/>
      <c r="ILI28"/>
      <c r="ILJ28"/>
      <c r="ILK28"/>
      <c r="ILL28"/>
      <c r="ILM28"/>
      <c r="ILN28"/>
      <c r="ILO28"/>
      <c r="ILP28"/>
      <c r="ILQ28"/>
      <c r="ILR28"/>
      <c r="ILS28"/>
      <c r="ILT28"/>
      <c r="ILU28"/>
      <c r="ILV28"/>
      <c r="ILW28"/>
      <c r="ILX28"/>
      <c r="ILY28"/>
      <c r="ILZ28"/>
      <c r="IMA28"/>
      <c r="IMB28"/>
      <c r="IMC28"/>
      <c r="IMD28"/>
      <c r="IME28"/>
      <c r="IMF28"/>
      <c r="IMG28"/>
      <c r="IMH28"/>
      <c r="IMI28"/>
      <c r="IMJ28"/>
      <c r="IMK28"/>
      <c r="IML28"/>
      <c r="IMM28"/>
      <c r="IMN28"/>
      <c r="IMO28"/>
      <c r="IMP28"/>
      <c r="IMQ28"/>
      <c r="IMR28"/>
      <c r="IMS28"/>
      <c r="IMT28"/>
      <c r="IMU28"/>
      <c r="IMV28"/>
      <c r="IMW28"/>
      <c r="IMX28"/>
      <c r="IMY28"/>
      <c r="IMZ28"/>
      <c r="INA28"/>
      <c r="INB28"/>
      <c r="INC28"/>
      <c r="IND28"/>
      <c r="INE28"/>
      <c r="INF28"/>
      <c r="ING28"/>
      <c r="INH28"/>
      <c r="INI28"/>
      <c r="INJ28"/>
      <c r="INK28"/>
      <c r="INL28"/>
      <c r="INM28"/>
      <c r="INN28"/>
      <c r="INO28"/>
      <c r="INP28"/>
      <c r="INQ28"/>
      <c r="INR28"/>
      <c r="INS28"/>
      <c r="INT28"/>
      <c r="INU28"/>
      <c r="INV28"/>
      <c r="INW28"/>
      <c r="INX28"/>
      <c r="INY28"/>
      <c r="INZ28"/>
      <c r="IOA28"/>
      <c r="IOB28"/>
      <c r="IOC28"/>
      <c r="IOD28"/>
      <c r="IOE28"/>
      <c r="IOF28"/>
      <c r="IOG28"/>
      <c r="IOH28"/>
      <c r="IOI28"/>
      <c r="IOJ28"/>
      <c r="IOK28"/>
      <c r="IOL28"/>
      <c r="IOM28"/>
      <c r="ION28"/>
      <c r="IOO28"/>
      <c r="IOP28"/>
      <c r="IOQ28"/>
      <c r="IOR28"/>
      <c r="IOS28"/>
      <c r="IOT28"/>
      <c r="IOU28"/>
      <c r="IOV28"/>
      <c r="IOW28"/>
      <c r="IOX28"/>
      <c r="IOY28"/>
      <c r="IOZ28"/>
      <c r="IPA28"/>
      <c r="IPB28"/>
      <c r="IPC28"/>
      <c r="IPD28"/>
      <c r="IPE28"/>
      <c r="IPF28"/>
      <c r="IPG28"/>
      <c r="IPH28"/>
      <c r="IPI28"/>
      <c r="IPJ28"/>
      <c r="IPK28"/>
      <c r="IPL28"/>
      <c r="IPM28"/>
      <c r="IPN28"/>
      <c r="IPO28"/>
      <c r="IPP28"/>
      <c r="IPQ28"/>
      <c r="IPR28"/>
      <c r="IPS28"/>
      <c r="IPT28"/>
      <c r="IPU28"/>
      <c r="IPV28"/>
      <c r="IPW28"/>
      <c r="IPX28"/>
      <c r="IPY28"/>
      <c r="IPZ28"/>
      <c r="IQA28"/>
      <c r="IQB28"/>
      <c r="IQC28"/>
      <c r="IQD28"/>
      <c r="IQE28"/>
      <c r="IQF28"/>
      <c r="IQG28"/>
      <c r="IQH28"/>
      <c r="IQI28"/>
      <c r="IQJ28"/>
      <c r="IQK28"/>
      <c r="IQL28"/>
      <c r="IQM28"/>
      <c r="IQN28"/>
      <c r="IQO28"/>
      <c r="IQP28"/>
      <c r="IQQ28"/>
      <c r="IQR28"/>
      <c r="IQS28"/>
      <c r="IQT28"/>
      <c r="IQU28"/>
      <c r="IQV28"/>
      <c r="IQW28"/>
      <c r="IQX28"/>
      <c r="IQY28"/>
      <c r="IQZ28"/>
      <c r="IRA28"/>
      <c r="IRB28"/>
      <c r="IRC28"/>
      <c r="IRD28"/>
      <c r="IRE28"/>
      <c r="IRF28"/>
      <c r="IRG28"/>
      <c r="IRH28"/>
      <c r="IRI28"/>
      <c r="IRJ28"/>
      <c r="IRK28"/>
      <c r="IRL28"/>
      <c r="IRM28"/>
      <c r="IRN28"/>
      <c r="IRO28"/>
      <c r="IRP28"/>
      <c r="IRQ28"/>
      <c r="IRR28"/>
      <c r="IRS28"/>
      <c r="IRT28"/>
      <c r="IRU28"/>
      <c r="IRV28"/>
      <c r="IRW28"/>
      <c r="IRX28"/>
      <c r="IRY28"/>
      <c r="IRZ28"/>
      <c r="ISA28"/>
      <c r="ISB28"/>
      <c r="ISC28"/>
      <c r="ISD28"/>
      <c r="ISE28"/>
      <c r="ISF28"/>
      <c r="ISG28"/>
      <c r="ISH28"/>
      <c r="ISI28"/>
      <c r="ISJ28"/>
      <c r="ISK28"/>
      <c r="ISL28"/>
      <c r="ISM28"/>
      <c r="ISN28"/>
      <c r="ISO28"/>
      <c r="ISP28"/>
      <c r="ISQ28"/>
      <c r="ISR28"/>
      <c r="ISS28"/>
      <c r="IST28"/>
      <c r="ISU28"/>
      <c r="ISV28"/>
      <c r="ISW28"/>
      <c r="ISX28"/>
      <c r="ISY28"/>
      <c r="ISZ28"/>
      <c r="ITA28"/>
      <c r="ITB28"/>
      <c r="ITC28"/>
      <c r="ITD28"/>
      <c r="ITE28"/>
      <c r="ITF28"/>
      <c r="ITG28"/>
      <c r="ITH28"/>
      <c r="ITI28"/>
      <c r="ITJ28"/>
      <c r="ITK28"/>
      <c r="ITL28"/>
      <c r="ITM28"/>
      <c r="ITN28"/>
      <c r="ITO28"/>
      <c r="ITP28"/>
      <c r="ITQ28"/>
      <c r="ITR28"/>
      <c r="ITS28"/>
      <c r="ITT28"/>
      <c r="ITU28"/>
      <c r="ITV28"/>
      <c r="ITW28"/>
      <c r="ITX28"/>
      <c r="ITY28"/>
      <c r="ITZ28"/>
      <c r="IUA28"/>
      <c r="IUB28"/>
      <c r="IUC28"/>
      <c r="IUD28"/>
      <c r="IUE28"/>
      <c r="IUF28"/>
      <c r="IUG28"/>
      <c r="IUH28"/>
      <c r="IUI28"/>
      <c r="IUJ28"/>
      <c r="IUK28"/>
      <c r="IUL28"/>
      <c r="IUM28"/>
      <c r="IUN28"/>
      <c r="IUO28"/>
      <c r="IUP28"/>
      <c r="IUQ28"/>
      <c r="IUR28"/>
      <c r="IUS28"/>
      <c r="IUT28"/>
      <c r="IUU28"/>
      <c r="IUV28"/>
      <c r="IUW28"/>
      <c r="IUX28"/>
      <c r="IUY28"/>
      <c r="IUZ28"/>
      <c r="IVA28"/>
      <c r="IVB28"/>
      <c r="IVC28"/>
      <c r="IVD28"/>
      <c r="IVE28"/>
      <c r="IVF28"/>
      <c r="IVG28"/>
      <c r="IVH28"/>
      <c r="IVI28"/>
      <c r="IVJ28"/>
      <c r="IVK28"/>
      <c r="IVL28"/>
      <c r="IVM28"/>
      <c r="IVN28"/>
      <c r="IVO28"/>
      <c r="IVP28"/>
      <c r="IVQ28"/>
      <c r="IVR28"/>
      <c r="IVS28"/>
      <c r="IVT28"/>
      <c r="IVU28"/>
      <c r="IVV28"/>
      <c r="IVW28"/>
      <c r="IVX28"/>
      <c r="IVY28"/>
      <c r="IVZ28"/>
      <c r="IWA28"/>
      <c r="IWB28"/>
      <c r="IWC28"/>
      <c r="IWD28"/>
      <c r="IWE28"/>
      <c r="IWF28"/>
      <c r="IWG28"/>
      <c r="IWH28"/>
      <c r="IWI28"/>
      <c r="IWJ28"/>
      <c r="IWK28"/>
      <c r="IWL28"/>
      <c r="IWM28"/>
      <c r="IWN28"/>
      <c r="IWO28"/>
      <c r="IWP28"/>
      <c r="IWQ28"/>
      <c r="IWR28"/>
      <c r="IWS28"/>
      <c r="IWT28"/>
      <c r="IWU28"/>
      <c r="IWV28"/>
      <c r="IWW28"/>
      <c r="IWX28"/>
      <c r="IWY28"/>
      <c r="IWZ28"/>
      <c r="IXA28"/>
      <c r="IXB28"/>
      <c r="IXC28"/>
      <c r="IXD28"/>
      <c r="IXE28"/>
      <c r="IXF28"/>
      <c r="IXG28"/>
      <c r="IXH28"/>
      <c r="IXI28"/>
      <c r="IXJ28"/>
      <c r="IXK28"/>
      <c r="IXL28"/>
      <c r="IXM28"/>
      <c r="IXN28"/>
      <c r="IXO28"/>
      <c r="IXP28"/>
      <c r="IXQ28"/>
      <c r="IXR28"/>
      <c r="IXS28"/>
      <c r="IXT28"/>
      <c r="IXU28"/>
      <c r="IXV28"/>
      <c r="IXW28"/>
      <c r="IXX28"/>
      <c r="IXY28"/>
      <c r="IXZ28"/>
      <c r="IYA28"/>
      <c r="IYB28"/>
      <c r="IYC28"/>
      <c r="IYD28"/>
      <c r="IYE28"/>
      <c r="IYF28"/>
      <c r="IYG28"/>
      <c r="IYH28"/>
      <c r="IYI28"/>
      <c r="IYJ28"/>
      <c r="IYK28"/>
      <c r="IYL28"/>
      <c r="IYM28"/>
      <c r="IYN28"/>
      <c r="IYO28"/>
      <c r="IYP28"/>
      <c r="IYQ28"/>
      <c r="IYR28"/>
      <c r="IYS28"/>
      <c r="IYT28"/>
      <c r="IYU28"/>
      <c r="IYV28"/>
      <c r="IYW28"/>
      <c r="IYX28"/>
      <c r="IYY28"/>
      <c r="IYZ28"/>
      <c r="IZA28"/>
      <c r="IZB28"/>
      <c r="IZC28"/>
      <c r="IZD28"/>
      <c r="IZE28"/>
      <c r="IZF28"/>
      <c r="IZG28"/>
      <c r="IZH28"/>
      <c r="IZI28"/>
      <c r="IZJ28"/>
      <c r="IZK28"/>
      <c r="IZL28"/>
      <c r="IZM28"/>
      <c r="IZN28"/>
      <c r="IZO28"/>
      <c r="IZP28"/>
      <c r="IZQ28"/>
      <c r="IZR28"/>
      <c r="IZS28"/>
      <c r="IZT28"/>
      <c r="IZU28"/>
      <c r="IZV28"/>
      <c r="IZW28"/>
      <c r="IZX28"/>
      <c r="IZY28"/>
      <c r="IZZ28"/>
      <c r="JAA28"/>
      <c r="JAB28"/>
      <c r="JAC28"/>
      <c r="JAD28"/>
      <c r="JAE28"/>
      <c r="JAF28"/>
      <c r="JAG28"/>
      <c r="JAH28"/>
      <c r="JAI28"/>
      <c r="JAJ28"/>
      <c r="JAK28"/>
      <c r="JAL28"/>
      <c r="JAM28"/>
      <c r="JAN28"/>
      <c r="JAO28"/>
      <c r="JAP28"/>
      <c r="JAQ28"/>
      <c r="JAR28"/>
      <c r="JAS28"/>
      <c r="JAT28"/>
      <c r="JAU28"/>
      <c r="JAV28"/>
      <c r="JAW28"/>
      <c r="JAX28"/>
      <c r="JAY28"/>
      <c r="JAZ28"/>
      <c r="JBA28"/>
      <c r="JBB28"/>
      <c r="JBC28"/>
      <c r="JBD28"/>
      <c r="JBE28"/>
      <c r="JBF28"/>
      <c r="JBG28"/>
      <c r="JBH28"/>
      <c r="JBI28"/>
      <c r="JBJ28"/>
      <c r="JBK28"/>
      <c r="JBL28"/>
      <c r="JBM28"/>
      <c r="JBN28"/>
      <c r="JBO28"/>
      <c r="JBP28"/>
      <c r="JBQ28"/>
      <c r="JBR28"/>
      <c r="JBS28"/>
      <c r="JBT28"/>
      <c r="JBU28"/>
      <c r="JBV28"/>
      <c r="JBW28"/>
      <c r="JBX28"/>
      <c r="JBY28"/>
      <c r="JBZ28"/>
      <c r="JCA28"/>
      <c r="JCB28"/>
      <c r="JCC28"/>
      <c r="JCD28"/>
      <c r="JCE28"/>
      <c r="JCF28"/>
      <c r="JCG28"/>
      <c r="JCH28"/>
      <c r="JCI28"/>
      <c r="JCJ28"/>
      <c r="JCK28"/>
      <c r="JCL28"/>
      <c r="JCM28"/>
      <c r="JCN28"/>
      <c r="JCO28"/>
      <c r="JCP28"/>
      <c r="JCQ28"/>
      <c r="JCR28"/>
      <c r="JCS28"/>
      <c r="JCT28"/>
      <c r="JCU28"/>
      <c r="JCV28"/>
      <c r="JCW28"/>
      <c r="JCX28"/>
      <c r="JCY28"/>
      <c r="JCZ28"/>
      <c r="JDA28"/>
      <c r="JDB28"/>
      <c r="JDC28"/>
      <c r="JDD28"/>
      <c r="JDE28"/>
      <c r="JDF28"/>
      <c r="JDG28"/>
      <c r="JDH28"/>
      <c r="JDI28"/>
      <c r="JDJ28"/>
      <c r="JDK28"/>
      <c r="JDL28"/>
      <c r="JDM28"/>
      <c r="JDN28"/>
      <c r="JDO28"/>
      <c r="JDP28"/>
      <c r="JDQ28"/>
      <c r="JDR28"/>
      <c r="JDS28"/>
      <c r="JDT28"/>
      <c r="JDU28"/>
      <c r="JDV28"/>
      <c r="JDW28"/>
      <c r="JDX28"/>
      <c r="JDY28"/>
      <c r="JDZ28"/>
      <c r="JEA28"/>
      <c r="JEB28"/>
      <c r="JEC28"/>
      <c r="JED28"/>
      <c r="JEE28"/>
      <c r="JEF28"/>
      <c r="JEG28"/>
      <c r="JEH28"/>
      <c r="JEI28"/>
      <c r="JEJ28"/>
      <c r="JEK28"/>
      <c r="JEL28"/>
      <c r="JEM28"/>
      <c r="JEN28"/>
      <c r="JEO28"/>
      <c r="JEP28"/>
      <c r="JEQ28"/>
      <c r="JER28"/>
      <c r="JES28"/>
      <c r="JET28"/>
      <c r="JEU28"/>
      <c r="JEV28"/>
      <c r="JEW28"/>
      <c r="JEX28"/>
      <c r="JEY28"/>
      <c r="JEZ28"/>
      <c r="JFA28"/>
      <c r="JFB28"/>
      <c r="JFC28"/>
      <c r="JFD28"/>
      <c r="JFE28"/>
      <c r="JFF28"/>
      <c r="JFG28"/>
      <c r="JFH28"/>
      <c r="JFI28"/>
      <c r="JFJ28"/>
      <c r="JFK28"/>
      <c r="JFL28"/>
      <c r="JFM28"/>
      <c r="JFN28"/>
      <c r="JFO28"/>
      <c r="JFP28"/>
      <c r="JFQ28"/>
      <c r="JFR28"/>
      <c r="JFS28"/>
      <c r="JFT28"/>
      <c r="JFU28"/>
      <c r="JFV28"/>
      <c r="JFW28"/>
      <c r="JFX28"/>
      <c r="JFY28"/>
      <c r="JFZ28"/>
      <c r="JGA28"/>
      <c r="JGB28"/>
      <c r="JGC28"/>
      <c r="JGD28"/>
      <c r="JGE28"/>
      <c r="JGF28"/>
      <c r="JGG28"/>
      <c r="JGH28"/>
      <c r="JGI28"/>
      <c r="JGJ28"/>
      <c r="JGK28"/>
      <c r="JGL28"/>
      <c r="JGM28"/>
      <c r="JGN28"/>
      <c r="JGO28"/>
      <c r="JGP28"/>
      <c r="JGQ28"/>
      <c r="JGR28"/>
      <c r="JGS28"/>
      <c r="JGT28"/>
      <c r="JGU28"/>
      <c r="JGV28"/>
      <c r="JGW28"/>
      <c r="JGX28"/>
      <c r="JGY28"/>
      <c r="JGZ28"/>
      <c r="JHA28"/>
      <c r="JHB28"/>
      <c r="JHC28"/>
      <c r="JHD28"/>
      <c r="JHE28"/>
      <c r="JHF28"/>
      <c r="JHG28"/>
      <c r="JHH28"/>
      <c r="JHI28"/>
      <c r="JHJ28"/>
      <c r="JHK28"/>
      <c r="JHL28"/>
      <c r="JHM28"/>
      <c r="JHN28"/>
      <c r="JHO28"/>
      <c r="JHP28"/>
      <c r="JHQ28"/>
      <c r="JHR28"/>
      <c r="JHS28"/>
      <c r="JHT28"/>
      <c r="JHU28"/>
      <c r="JHV28"/>
      <c r="JHW28"/>
      <c r="JHX28"/>
      <c r="JHY28"/>
      <c r="JHZ28"/>
      <c r="JIA28"/>
      <c r="JIB28"/>
      <c r="JIC28"/>
      <c r="JID28"/>
      <c r="JIE28"/>
      <c r="JIF28"/>
      <c r="JIG28"/>
      <c r="JIH28"/>
      <c r="JII28"/>
      <c r="JIJ28"/>
      <c r="JIK28"/>
      <c r="JIL28"/>
      <c r="JIM28"/>
      <c r="JIN28"/>
      <c r="JIO28"/>
      <c r="JIP28"/>
      <c r="JIQ28"/>
      <c r="JIR28"/>
      <c r="JIS28"/>
      <c r="JIT28"/>
      <c r="JIU28"/>
      <c r="JIV28"/>
      <c r="JIW28"/>
      <c r="JIX28"/>
      <c r="JIY28"/>
      <c r="JIZ28"/>
      <c r="JJA28"/>
      <c r="JJB28"/>
      <c r="JJC28"/>
      <c r="JJD28"/>
      <c r="JJE28"/>
      <c r="JJF28"/>
      <c r="JJG28"/>
      <c r="JJH28"/>
      <c r="JJI28"/>
      <c r="JJJ28"/>
      <c r="JJK28"/>
      <c r="JJL28"/>
      <c r="JJM28"/>
      <c r="JJN28"/>
      <c r="JJO28"/>
      <c r="JJP28"/>
      <c r="JJQ28"/>
      <c r="JJR28"/>
      <c r="JJS28"/>
      <c r="JJT28"/>
      <c r="JJU28"/>
      <c r="JJV28"/>
      <c r="JJW28"/>
      <c r="JJX28"/>
      <c r="JJY28"/>
      <c r="JJZ28"/>
      <c r="JKA28"/>
      <c r="JKB28"/>
      <c r="JKC28"/>
      <c r="JKD28"/>
      <c r="JKE28"/>
      <c r="JKF28"/>
      <c r="JKG28"/>
      <c r="JKH28"/>
      <c r="JKI28"/>
      <c r="JKJ28"/>
      <c r="JKK28"/>
      <c r="JKL28"/>
      <c r="JKM28"/>
      <c r="JKN28"/>
      <c r="JKO28"/>
      <c r="JKP28"/>
      <c r="JKQ28"/>
      <c r="JKR28"/>
      <c r="JKS28"/>
      <c r="JKT28"/>
      <c r="JKU28"/>
      <c r="JKV28"/>
      <c r="JKW28"/>
      <c r="JKX28"/>
      <c r="JKY28"/>
      <c r="JKZ28"/>
      <c r="JLA28"/>
      <c r="JLB28"/>
      <c r="JLC28"/>
      <c r="JLD28"/>
      <c r="JLE28"/>
      <c r="JLF28"/>
      <c r="JLG28"/>
      <c r="JLH28"/>
      <c r="JLI28"/>
      <c r="JLJ28"/>
      <c r="JLK28"/>
      <c r="JLL28"/>
      <c r="JLM28"/>
      <c r="JLN28"/>
      <c r="JLO28"/>
      <c r="JLP28"/>
      <c r="JLQ28"/>
      <c r="JLR28"/>
      <c r="JLS28"/>
      <c r="JLT28"/>
      <c r="JLU28"/>
      <c r="JLV28"/>
      <c r="JLW28"/>
      <c r="JLX28"/>
      <c r="JLY28"/>
      <c r="JLZ28"/>
      <c r="JMA28"/>
      <c r="JMB28"/>
      <c r="JMC28"/>
      <c r="JMD28"/>
      <c r="JME28"/>
      <c r="JMF28"/>
      <c r="JMG28"/>
      <c r="JMH28"/>
      <c r="JMI28"/>
      <c r="JMJ28"/>
      <c r="JMK28"/>
      <c r="JML28"/>
      <c r="JMM28"/>
      <c r="JMN28"/>
      <c r="JMO28"/>
      <c r="JMP28"/>
      <c r="JMQ28"/>
      <c r="JMR28"/>
      <c r="JMS28"/>
      <c r="JMT28"/>
      <c r="JMU28"/>
      <c r="JMV28"/>
      <c r="JMW28"/>
      <c r="JMX28"/>
      <c r="JMY28"/>
      <c r="JMZ28"/>
      <c r="JNA28"/>
      <c r="JNB28"/>
      <c r="JNC28"/>
      <c r="JND28"/>
      <c r="JNE28"/>
      <c r="JNF28"/>
      <c r="JNG28"/>
      <c r="JNH28"/>
      <c r="JNI28"/>
      <c r="JNJ28"/>
      <c r="JNK28"/>
      <c r="JNL28"/>
      <c r="JNM28"/>
      <c r="JNN28"/>
      <c r="JNO28"/>
      <c r="JNP28"/>
      <c r="JNQ28"/>
      <c r="JNR28"/>
      <c r="JNS28"/>
      <c r="JNT28"/>
      <c r="JNU28"/>
      <c r="JNV28"/>
      <c r="JNW28"/>
      <c r="JNX28"/>
      <c r="JNY28"/>
      <c r="JNZ28"/>
      <c r="JOA28"/>
      <c r="JOB28"/>
      <c r="JOC28"/>
      <c r="JOD28"/>
      <c r="JOE28"/>
      <c r="JOF28"/>
      <c r="JOG28"/>
      <c r="JOH28"/>
      <c r="JOI28"/>
      <c r="JOJ28"/>
      <c r="JOK28"/>
      <c r="JOL28"/>
      <c r="JOM28"/>
      <c r="JON28"/>
      <c r="JOO28"/>
      <c r="JOP28"/>
      <c r="JOQ28"/>
      <c r="JOR28"/>
      <c r="JOS28"/>
      <c r="JOT28"/>
      <c r="JOU28"/>
      <c r="JOV28"/>
      <c r="JOW28"/>
      <c r="JOX28"/>
      <c r="JOY28"/>
      <c r="JOZ28"/>
      <c r="JPA28"/>
      <c r="JPB28"/>
      <c r="JPC28"/>
      <c r="JPD28"/>
      <c r="JPE28"/>
      <c r="JPF28"/>
      <c r="JPG28"/>
      <c r="JPH28"/>
      <c r="JPI28"/>
      <c r="JPJ28"/>
      <c r="JPK28"/>
      <c r="JPL28"/>
      <c r="JPM28"/>
      <c r="JPN28"/>
      <c r="JPO28"/>
      <c r="JPP28"/>
      <c r="JPQ28"/>
      <c r="JPR28"/>
      <c r="JPS28"/>
      <c r="JPT28"/>
      <c r="JPU28"/>
      <c r="JPV28"/>
      <c r="JPW28"/>
      <c r="JPX28"/>
      <c r="JPY28"/>
      <c r="JPZ28"/>
      <c r="JQA28"/>
      <c r="JQB28"/>
      <c r="JQC28"/>
      <c r="JQD28"/>
      <c r="JQE28"/>
      <c r="JQF28"/>
      <c r="JQG28"/>
      <c r="JQH28"/>
      <c r="JQI28"/>
      <c r="JQJ28"/>
      <c r="JQK28"/>
      <c r="JQL28"/>
      <c r="JQM28"/>
      <c r="JQN28"/>
      <c r="JQO28"/>
      <c r="JQP28"/>
      <c r="JQQ28"/>
      <c r="JQR28"/>
      <c r="JQS28"/>
      <c r="JQT28"/>
      <c r="JQU28"/>
      <c r="JQV28"/>
      <c r="JQW28"/>
      <c r="JQX28"/>
      <c r="JQY28"/>
      <c r="JQZ28"/>
      <c r="JRA28"/>
      <c r="JRB28"/>
      <c r="JRC28"/>
      <c r="JRD28"/>
      <c r="JRE28"/>
      <c r="JRF28"/>
      <c r="JRG28"/>
      <c r="JRH28"/>
      <c r="JRI28"/>
      <c r="JRJ28"/>
      <c r="JRK28"/>
      <c r="JRL28"/>
      <c r="JRM28"/>
      <c r="JRN28"/>
      <c r="JRO28"/>
      <c r="JRP28"/>
      <c r="JRQ28"/>
      <c r="JRR28"/>
      <c r="JRS28"/>
      <c r="JRT28"/>
      <c r="JRU28"/>
      <c r="JRV28"/>
      <c r="JRW28"/>
      <c r="JRX28"/>
      <c r="JRY28"/>
      <c r="JRZ28"/>
      <c r="JSA28"/>
      <c r="JSB28"/>
      <c r="JSC28"/>
      <c r="JSD28"/>
      <c r="JSE28"/>
      <c r="JSF28"/>
      <c r="JSG28"/>
      <c r="JSH28"/>
      <c r="JSI28"/>
      <c r="JSJ28"/>
      <c r="JSK28"/>
      <c r="JSL28"/>
      <c r="JSM28"/>
      <c r="JSN28"/>
      <c r="JSO28"/>
      <c r="JSP28"/>
      <c r="JSQ28"/>
      <c r="JSR28"/>
      <c r="JSS28"/>
      <c r="JST28"/>
      <c r="JSU28"/>
      <c r="JSV28"/>
      <c r="JSW28"/>
      <c r="JSX28"/>
      <c r="JSY28"/>
      <c r="JSZ28"/>
      <c r="JTA28"/>
      <c r="JTB28"/>
      <c r="JTC28"/>
      <c r="JTD28"/>
      <c r="JTE28"/>
      <c r="JTF28"/>
      <c r="JTG28"/>
      <c r="JTH28"/>
      <c r="JTI28"/>
      <c r="JTJ28"/>
      <c r="JTK28"/>
      <c r="JTL28"/>
      <c r="JTM28"/>
      <c r="JTN28"/>
      <c r="JTO28"/>
      <c r="JTP28"/>
      <c r="JTQ28"/>
      <c r="JTR28"/>
      <c r="JTS28"/>
      <c r="JTT28"/>
      <c r="JTU28"/>
      <c r="JTV28"/>
      <c r="JTW28"/>
      <c r="JTX28"/>
      <c r="JTY28"/>
      <c r="JTZ28"/>
      <c r="JUA28"/>
      <c r="JUB28"/>
      <c r="JUC28"/>
      <c r="JUD28"/>
      <c r="JUE28"/>
      <c r="JUF28"/>
      <c r="JUG28"/>
      <c r="JUH28"/>
      <c r="JUI28"/>
      <c r="JUJ28"/>
      <c r="JUK28"/>
      <c r="JUL28"/>
      <c r="JUM28"/>
      <c r="JUN28"/>
      <c r="JUO28"/>
      <c r="JUP28"/>
      <c r="JUQ28"/>
      <c r="JUR28"/>
      <c r="JUS28"/>
      <c r="JUT28"/>
      <c r="JUU28"/>
      <c r="JUV28"/>
      <c r="JUW28"/>
      <c r="JUX28"/>
      <c r="JUY28"/>
      <c r="JUZ28"/>
      <c r="JVA28"/>
      <c r="JVB28"/>
      <c r="JVC28"/>
      <c r="JVD28"/>
      <c r="JVE28"/>
      <c r="JVF28"/>
      <c r="JVG28"/>
      <c r="JVH28"/>
      <c r="JVI28"/>
      <c r="JVJ28"/>
      <c r="JVK28"/>
      <c r="JVL28"/>
      <c r="JVM28"/>
      <c r="JVN28"/>
      <c r="JVO28"/>
      <c r="JVP28"/>
      <c r="JVQ28"/>
      <c r="JVR28"/>
      <c r="JVS28"/>
      <c r="JVT28"/>
      <c r="JVU28"/>
      <c r="JVV28"/>
      <c r="JVW28"/>
      <c r="JVX28"/>
      <c r="JVY28"/>
      <c r="JVZ28"/>
      <c r="JWA28"/>
      <c r="JWB28"/>
      <c r="JWC28"/>
      <c r="JWD28"/>
      <c r="JWE28"/>
      <c r="JWF28"/>
      <c r="JWG28"/>
      <c r="JWH28"/>
      <c r="JWI28"/>
      <c r="JWJ28"/>
      <c r="JWK28"/>
      <c r="JWL28"/>
      <c r="JWM28"/>
      <c r="JWN28"/>
      <c r="JWO28"/>
      <c r="JWP28"/>
      <c r="JWQ28"/>
      <c r="JWR28"/>
      <c r="JWS28"/>
      <c r="JWT28"/>
      <c r="JWU28"/>
      <c r="JWV28"/>
      <c r="JWW28"/>
      <c r="JWX28"/>
      <c r="JWY28"/>
      <c r="JWZ28"/>
      <c r="JXA28"/>
      <c r="JXB28"/>
      <c r="JXC28"/>
      <c r="JXD28"/>
      <c r="JXE28"/>
      <c r="JXF28"/>
      <c r="JXG28"/>
      <c r="JXH28"/>
      <c r="JXI28"/>
      <c r="JXJ28"/>
      <c r="JXK28"/>
      <c r="JXL28"/>
      <c r="JXM28"/>
      <c r="JXN28"/>
      <c r="JXO28"/>
      <c r="JXP28"/>
      <c r="JXQ28"/>
      <c r="JXR28"/>
      <c r="JXS28"/>
      <c r="JXT28"/>
      <c r="JXU28"/>
      <c r="JXV28"/>
      <c r="JXW28"/>
      <c r="JXX28"/>
      <c r="JXY28"/>
      <c r="JXZ28"/>
      <c r="JYA28"/>
      <c r="JYB28"/>
      <c r="JYC28"/>
      <c r="JYD28"/>
      <c r="JYE28"/>
      <c r="JYF28"/>
      <c r="JYG28"/>
      <c r="JYH28"/>
      <c r="JYI28"/>
      <c r="JYJ28"/>
      <c r="JYK28"/>
      <c r="JYL28"/>
      <c r="JYM28"/>
      <c r="JYN28"/>
      <c r="JYO28"/>
      <c r="JYP28"/>
      <c r="JYQ28"/>
      <c r="JYR28"/>
      <c r="JYS28"/>
      <c r="JYT28"/>
      <c r="JYU28"/>
      <c r="JYV28"/>
      <c r="JYW28"/>
      <c r="JYX28"/>
      <c r="JYY28"/>
      <c r="JYZ28"/>
      <c r="JZA28"/>
      <c r="JZB28"/>
      <c r="JZC28"/>
      <c r="JZD28"/>
      <c r="JZE28"/>
      <c r="JZF28"/>
      <c r="JZG28"/>
      <c r="JZH28"/>
      <c r="JZI28"/>
      <c r="JZJ28"/>
      <c r="JZK28"/>
      <c r="JZL28"/>
      <c r="JZM28"/>
      <c r="JZN28"/>
      <c r="JZO28"/>
      <c r="JZP28"/>
      <c r="JZQ28"/>
      <c r="JZR28"/>
      <c r="JZS28"/>
      <c r="JZT28"/>
      <c r="JZU28"/>
      <c r="JZV28"/>
      <c r="JZW28"/>
      <c r="JZX28"/>
      <c r="JZY28"/>
      <c r="JZZ28"/>
      <c r="KAA28"/>
      <c r="KAB28"/>
      <c r="KAC28"/>
      <c r="KAD28"/>
      <c r="KAE28"/>
      <c r="KAF28"/>
      <c r="KAG28"/>
      <c r="KAH28"/>
      <c r="KAI28"/>
      <c r="KAJ28"/>
      <c r="KAK28"/>
      <c r="KAL28"/>
      <c r="KAM28"/>
      <c r="KAN28"/>
      <c r="KAO28"/>
      <c r="KAP28"/>
      <c r="KAQ28"/>
      <c r="KAR28"/>
      <c r="KAS28"/>
      <c r="KAT28"/>
      <c r="KAU28"/>
      <c r="KAV28"/>
      <c r="KAW28"/>
      <c r="KAX28"/>
      <c r="KAY28"/>
      <c r="KAZ28"/>
      <c r="KBA28"/>
      <c r="KBB28"/>
      <c r="KBC28"/>
      <c r="KBD28"/>
      <c r="KBE28"/>
      <c r="KBF28"/>
      <c r="KBG28"/>
      <c r="KBH28"/>
      <c r="KBI28"/>
      <c r="KBJ28"/>
      <c r="KBK28"/>
      <c r="KBL28"/>
      <c r="KBM28"/>
      <c r="KBN28"/>
      <c r="KBO28"/>
      <c r="KBP28"/>
      <c r="KBQ28"/>
      <c r="KBR28"/>
      <c r="KBS28"/>
      <c r="KBT28"/>
      <c r="KBU28"/>
      <c r="KBV28"/>
      <c r="KBW28"/>
      <c r="KBX28"/>
      <c r="KBY28"/>
      <c r="KBZ28"/>
      <c r="KCA28"/>
      <c r="KCB28"/>
      <c r="KCC28"/>
      <c r="KCD28"/>
      <c r="KCE28"/>
      <c r="KCF28"/>
      <c r="KCG28"/>
      <c r="KCH28"/>
      <c r="KCI28"/>
      <c r="KCJ28"/>
      <c r="KCK28"/>
      <c r="KCL28"/>
      <c r="KCM28"/>
      <c r="KCN28"/>
      <c r="KCO28"/>
      <c r="KCP28"/>
      <c r="KCQ28"/>
      <c r="KCR28"/>
      <c r="KCS28"/>
      <c r="KCT28"/>
      <c r="KCU28"/>
      <c r="KCV28"/>
      <c r="KCW28"/>
      <c r="KCX28"/>
      <c r="KCY28"/>
      <c r="KCZ28"/>
      <c r="KDA28"/>
      <c r="KDB28"/>
      <c r="KDC28"/>
      <c r="KDD28"/>
      <c r="KDE28"/>
      <c r="KDF28"/>
      <c r="KDG28"/>
      <c r="KDH28"/>
      <c r="KDI28"/>
      <c r="KDJ28"/>
      <c r="KDK28"/>
      <c r="KDL28"/>
      <c r="KDM28"/>
      <c r="KDN28"/>
      <c r="KDO28"/>
      <c r="KDP28"/>
      <c r="KDQ28"/>
      <c r="KDR28"/>
      <c r="KDS28"/>
      <c r="KDT28"/>
      <c r="KDU28"/>
      <c r="KDV28"/>
      <c r="KDW28"/>
      <c r="KDX28"/>
      <c r="KDY28"/>
      <c r="KDZ28"/>
      <c r="KEA28"/>
      <c r="KEB28"/>
      <c r="KEC28"/>
      <c r="KED28"/>
      <c r="KEE28"/>
      <c r="KEF28"/>
      <c r="KEG28"/>
      <c r="KEH28"/>
      <c r="KEI28"/>
      <c r="KEJ28"/>
      <c r="KEK28"/>
      <c r="KEL28"/>
      <c r="KEM28"/>
      <c r="KEN28"/>
      <c r="KEO28"/>
      <c r="KEP28"/>
      <c r="KEQ28"/>
      <c r="KER28"/>
      <c r="KES28"/>
      <c r="KET28"/>
      <c r="KEU28"/>
      <c r="KEV28"/>
      <c r="KEW28"/>
      <c r="KEX28"/>
      <c r="KEY28"/>
      <c r="KEZ28"/>
      <c r="KFA28"/>
      <c r="KFB28"/>
      <c r="KFC28"/>
      <c r="KFD28"/>
      <c r="KFE28"/>
      <c r="KFF28"/>
      <c r="KFG28"/>
      <c r="KFH28"/>
      <c r="KFI28"/>
      <c r="KFJ28"/>
      <c r="KFK28"/>
      <c r="KFL28"/>
      <c r="KFM28"/>
      <c r="KFN28"/>
      <c r="KFO28"/>
      <c r="KFP28"/>
      <c r="KFQ28"/>
      <c r="KFR28"/>
      <c r="KFS28"/>
      <c r="KFT28"/>
      <c r="KFU28"/>
      <c r="KFV28"/>
      <c r="KFW28"/>
      <c r="KFX28"/>
      <c r="KFY28"/>
      <c r="KFZ28"/>
      <c r="KGA28"/>
      <c r="KGB28"/>
      <c r="KGC28"/>
      <c r="KGD28"/>
      <c r="KGE28"/>
      <c r="KGF28"/>
      <c r="KGG28"/>
      <c r="KGH28"/>
      <c r="KGI28"/>
      <c r="KGJ28"/>
      <c r="KGK28"/>
      <c r="KGL28"/>
      <c r="KGM28"/>
      <c r="KGN28"/>
      <c r="KGO28"/>
      <c r="KGP28"/>
      <c r="KGQ28"/>
      <c r="KGR28"/>
      <c r="KGS28"/>
      <c r="KGT28"/>
      <c r="KGU28"/>
      <c r="KGV28"/>
      <c r="KGW28"/>
      <c r="KGX28"/>
      <c r="KGY28"/>
      <c r="KGZ28"/>
      <c r="KHA28"/>
      <c r="KHB28"/>
      <c r="KHC28"/>
      <c r="KHD28"/>
      <c r="KHE28"/>
      <c r="KHF28"/>
      <c r="KHG28"/>
      <c r="KHH28"/>
      <c r="KHI28"/>
      <c r="KHJ28"/>
      <c r="KHK28"/>
      <c r="KHL28"/>
      <c r="KHM28"/>
      <c r="KHN28"/>
      <c r="KHO28"/>
      <c r="KHP28"/>
      <c r="KHQ28"/>
      <c r="KHR28"/>
      <c r="KHS28"/>
      <c r="KHT28"/>
      <c r="KHU28"/>
      <c r="KHV28"/>
      <c r="KHW28"/>
      <c r="KHX28"/>
      <c r="KHY28"/>
      <c r="KHZ28"/>
      <c r="KIA28"/>
      <c r="KIB28"/>
      <c r="KIC28"/>
      <c r="KID28"/>
      <c r="KIE28"/>
      <c r="KIF28"/>
      <c r="KIG28"/>
      <c r="KIH28"/>
      <c r="KII28"/>
      <c r="KIJ28"/>
      <c r="KIK28"/>
      <c r="KIL28"/>
      <c r="KIM28"/>
      <c r="KIN28"/>
      <c r="KIO28"/>
      <c r="KIP28"/>
      <c r="KIQ28"/>
      <c r="KIR28"/>
      <c r="KIS28"/>
      <c r="KIT28"/>
      <c r="KIU28"/>
      <c r="KIV28"/>
      <c r="KIW28"/>
      <c r="KIX28"/>
      <c r="KIY28"/>
      <c r="KIZ28"/>
      <c r="KJA28"/>
      <c r="KJB28"/>
      <c r="KJC28"/>
      <c r="KJD28"/>
      <c r="KJE28"/>
      <c r="KJF28"/>
      <c r="KJG28"/>
      <c r="KJH28"/>
      <c r="KJI28"/>
      <c r="KJJ28"/>
      <c r="KJK28"/>
      <c r="KJL28"/>
      <c r="KJM28"/>
      <c r="KJN28"/>
      <c r="KJO28"/>
      <c r="KJP28"/>
      <c r="KJQ28"/>
      <c r="KJR28"/>
      <c r="KJS28"/>
      <c r="KJT28"/>
      <c r="KJU28"/>
      <c r="KJV28"/>
      <c r="KJW28"/>
      <c r="KJX28"/>
      <c r="KJY28"/>
      <c r="KJZ28"/>
      <c r="KKA28"/>
      <c r="KKB28"/>
      <c r="KKC28"/>
      <c r="KKD28"/>
      <c r="KKE28"/>
      <c r="KKF28"/>
      <c r="KKG28"/>
      <c r="KKH28"/>
      <c r="KKI28"/>
      <c r="KKJ28"/>
      <c r="KKK28"/>
      <c r="KKL28"/>
      <c r="KKM28"/>
      <c r="KKN28"/>
      <c r="KKO28"/>
      <c r="KKP28"/>
      <c r="KKQ28"/>
      <c r="KKR28"/>
      <c r="KKS28"/>
      <c r="KKT28"/>
      <c r="KKU28"/>
      <c r="KKV28"/>
      <c r="KKW28"/>
      <c r="KKX28"/>
      <c r="KKY28"/>
      <c r="KKZ28"/>
      <c r="KLA28"/>
      <c r="KLB28"/>
      <c r="KLC28"/>
      <c r="KLD28"/>
      <c r="KLE28"/>
      <c r="KLF28"/>
      <c r="KLG28"/>
      <c r="KLH28"/>
      <c r="KLI28"/>
      <c r="KLJ28"/>
      <c r="KLK28"/>
      <c r="KLL28"/>
      <c r="KLM28"/>
      <c r="KLN28"/>
      <c r="KLO28"/>
      <c r="KLP28"/>
      <c r="KLQ28"/>
      <c r="KLR28"/>
      <c r="KLS28"/>
      <c r="KLT28"/>
      <c r="KLU28"/>
      <c r="KLV28"/>
      <c r="KLW28"/>
      <c r="KLX28"/>
      <c r="KLY28"/>
      <c r="KLZ28"/>
      <c r="KMA28"/>
      <c r="KMB28"/>
      <c r="KMC28"/>
      <c r="KMD28"/>
      <c r="KME28"/>
      <c r="KMF28"/>
      <c r="KMG28"/>
      <c r="KMH28"/>
      <c r="KMI28"/>
      <c r="KMJ28"/>
      <c r="KMK28"/>
      <c r="KML28"/>
      <c r="KMM28"/>
      <c r="KMN28"/>
      <c r="KMO28"/>
      <c r="KMP28"/>
      <c r="KMQ28"/>
      <c r="KMR28"/>
      <c r="KMS28"/>
      <c r="KMT28"/>
      <c r="KMU28"/>
      <c r="KMV28"/>
      <c r="KMW28"/>
      <c r="KMX28"/>
      <c r="KMY28"/>
      <c r="KMZ28"/>
      <c r="KNA28"/>
      <c r="KNB28"/>
      <c r="KNC28"/>
      <c r="KND28"/>
      <c r="KNE28"/>
      <c r="KNF28"/>
      <c r="KNG28"/>
      <c r="KNH28"/>
      <c r="KNI28"/>
      <c r="KNJ28"/>
      <c r="KNK28"/>
      <c r="KNL28"/>
      <c r="KNM28"/>
      <c r="KNN28"/>
      <c r="KNO28"/>
      <c r="KNP28"/>
      <c r="KNQ28"/>
      <c r="KNR28"/>
      <c r="KNS28"/>
      <c r="KNT28"/>
      <c r="KNU28"/>
      <c r="KNV28"/>
      <c r="KNW28"/>
      <c r="KNX28"/>
      <c r="KNY28"/>
      <c r="KNZ28"/>
      <c r="KOA28"/>
      <c r="KOB28"/>
      <c r="KOC28"/>
      <c r="KOD28"/>
      <c r="KOE28"/>
      <c r="KOF28"/>
      <c r="KOG28"/>
      <c r="KOH28"/>
      <c r="KOI28"/>
      <c r="KOJ28"/>
      <c r="KOK28"/>
      <c r="KOL28"/>
      <c r="KOM28"/>
      <c r="KON28"/>
      <c r="KOO28"/>
      <c r="KOP28"/>
      <c r="KOQ28"/>
      <c r="KOR28"/>
      <c r="KOS28"/>
      <c r="KOT28"/>
      <c r="KOU28"/>
      <c r="KOV28"/>
      <c r="KOW28"/>
      <c r="KOX28"/>
      <c r="KOY28"/>
      <c r="KOZ28"/>
      <c r="KPA28"/>
      <c r="KPB28"/>
      <c r="KPC28"/>
      <c r="KPD28"/>
      <c r="KPE28"/>
      <c r="KPF28"/>
      <c r="KPG28"/>
      <c r="KPH28"/>
      <c r="KPI28"/>
      <c r="KPJ28"/>
      <c r="KPK28"/>
      <c r="KPL28"/>
      <c r="KPM28"/>
      <c r="KPN28"/>
      <c r="KPO28"/>
      <c r="KPP28"/>
      <c r="KPQ28"/>
      <c r="KPR28"/>
      <c r="KPS28"/>
      <c r="KPT28"/>
      <c r="KPU28"/>
      <c r="KPV28"/>
      <c r="KPW28"/>
      <c r="KPX28"/>
      <c r="KPY28"/>
      <c r="KPZ28"/>
      <c r="KQA28"/>
      <c r="KQB28"/>
      <c r="KQC28"/>
      <c r="KQD28"/>
      <c r="KQE28"/>
      <c r="KQF28"/>
      <c r="KQG28"/>
      <c r="KQH28"/>
      <c r="KQI28"/>
      <c r="KQJ28"/>
      <c r="KQK28"/>
      <c r="KQL28"/>
      <c r="KQM28"/>
      <c r="KQN28"/>
      <c r="KQO28"/>
      <c r="KQP28"/>
      <c r="KQQ28"/>
      <c r="KQR28"/>
      <c r="KQS28"/>
      <c r="KQT28"/>
      <c r="KQU28"/>
      <c r="KQV28"/>
      <c r="KQW28"/>
      <c r="KQX28"/>
      <c r="KQY28"/>
      <c r="KQZ28"/>
      <c r="KRA28"/>
      <c r="KRB28"/>
      <c r="KRC28"/>
      <c r="KRD28"/>
      <c r="KRE28"/>
      <c r="KRF28"/>
      <c r="KRG28"/>
      <c r="KRH28"/>
      <c r="KRI28"/>
      <c r="KRJ28"/>
      <c r="KRK28"/>
      <c r="KRL28"/>
      <c r="KRM28"/>
      <c r="KRN28"/>
      <c r="KRO28"/>
      <c r="KRP28"/>
      <c r="KRQ28"/>
      <c r="KRR28"/>
      <c r="KRS28"/>
      <c r="KRT28"/>
      <c r="KRU28"/>
      <c r="KRV28"/>
      <c r="KRW28"/>
      <c r="KRX28"/>
      <c r="KRY28"/>
      <c r="KRZ28"/>
      <c r="KSA28"/>
      <c r="KSB28"/>
      <c r="KSC28"/>
      <c r="KSD28"/>
      <c r="KSE28"/>
      <c r="KSF28"/>
      <c r="KSG28"/>
      <c r="KSH28"/>
      <c r="KSI28"/>
      <c r="KSJ28"/>
      <c r="KSK28"/>
      <c r="KSL28"/>
      <c r="KSM28"/>
      <c r="KSN28"/>
      <c r="KSO28"/>
      <c r="KSP28"/>
      <c r="KSQ28"/>
      <c r="KSR28"/>
      <c r="KSS28"/>
      <c r="KST28"/>
      <c r="KSU28"/>
      <c r="KSV28"/>
      <c r="KSW28"/>
      <c r="KSX28"/>
      <c r="KSY28"/>
      <c r="KSZ28"/>
      <c r="KTA28"/>
      <c r="KTB28"/>
      <c r="KTC28"/>
      <c r="KTD28"/>
      <c r="KTE28"/>
      <c r="KTF28"/>
      <c r="KTG28"/>
      <c r="KTH28"/>
      <c r="KTI28"/>
      <c r="KTJ28"/>
      <c r="KTK28"/>
      <c r="KTL28"/>
      <c r="KTM28"/>
      <c r="KTN28"/>
      <c r="KTO28"/>
      <c r="KTP28"/>
      <c r="KTQ28"/>
      <c r="KTR28"/>
      <c r="KTS28"/>
      <c r="KTT28"/>
      <c r="KTU28"/>
      <c r="KTV28"/>
      <c r="KTW28"/>
      <c r="KTX28"/>
      <c r="KTY28"/>
      <c r="KTZ28"/>
      <c r="KUA28"/>
      <c r="KUB28"/>
      <c r="KUC28"/>
      <c r="KUD28"/>
      <c r="KUE28"/>
      <c r="KUF28"/>
      <c r="KUG28"/>
      <c r="KUH28"/>
      <c r="KUI28"/>
      <c r="KUJ28"/>
      <c r="KUK28"/>
      <c r="KUL28"/>
      <c r="KUM28"/>
      <c r="KUN28"/>
      <c r="KUO28"/>
      <c r="KUP28"/>
      <c r="KUQ28"/>
      <c r="KUR28"/>
      <c r="KUS28"/>
      <c r="KUT28"/>
      <c r="KUU28"/>
      <c r="KUV28"/>
      <c r="KUW28"/>
      <c r="KUX28"/>
      <c r="KUY28"/>
      <c r="KUZ28"/>
      <c r="KVA28"/>
      <c r="KVB28"/>
      <c r="KVC28"/>
      <c r="KVD28"/>
      <c r="KVE28"/>
      <c r="KVF28"/>
      <c r="KVG28"/>
      <c r="KVH28"/>
      <c r="KVI28"/>
      <c r="KVJ28"/>
      <c r="KVK28"/>
      <c r="KVL28"/>
      <c r="KVM28"/>
      <c r="KVN28"/>
      <c r="KVO28"/>
      <c r="KVP28"/>
      <c r="KVQ28"/>
      <c r="KVR28"/>
      <c r="KVS28"/>
      <c r="KVT28"/>
      <c r="KVU28"/>
      <c r="KVV28"/>
      <c r="KVW28"/>
      <c r="KVX28"/>
      <c r="KVY28"/>
      <c r="KVZ28"/>
      <c r="KWA28"/>
      <c r="KWB28"/>
      <c r="KWC28"/>
      <c r="KWD28"/>
      <c r="KWE28"/>
      <c r="KWF28"/>
      <c r="KWG28"/>
      <c r="KWH28"/>
      <c r="KWI28"/>
      <c r="KWJ28"/>
      <c r="KWK28"/>
      <c r="KWL28"/>
      <c r="KWM28"/>
      <c r="KWN28"/>
      <c r="KWO28"/>
      <c r="KWP28"/>
      <c r="KWQ28"/>
      <c r="KWR28"/>
      <c r="KWS28"/>
      <c r="KWT28"/>
      <c r="KWU28"/>
      <c r="KWV28"/>
      <c r="KWW28"/>
      <c r="KWX28"/>
      <c r="KWY28"/>
      <c r="KWZ28"/>
      <c r="KXA28"/>
      <c r="KXB28"/>
      <c r="KXC28"/>
      <c r="KXD28"/>
      <c r="KXE28"/>
      <c r="KXF28"/>
      <c r="KXG28"/>
      <c r="KXH28"/>
      <c r="KXI28"/>
      <c r="KXJ28"/>
      <c r="KXK28"/>
      <c r="KXL28"/>
      <c r="KXM28"/>
      <c r="KXN28"/>
      <c r="KXO28"/>
      <c r="KXP28"/>
      <c r="KXQ28"/>
      <c r="KXR28"/>
      <c r="KXS28"/>
      <c r="KXT28"/>
      <c r="KXU28"/>
      <c r="KXV28"/>
      <c r="KXW28"/>
      <c r="KXX28"/>
      <c r="KXY28"/>
      <c r="KXZ28"/>
      <c r="KYA28"/>
      <c r="KYB28"/>
      <c r="KYC28"/>
      <c r="KYD28"/>
      <c r="KYE28"/>
      <c r="KYF28"/>
      <c r="KYG28"/>
      <c r="KYH28"/>
      <c r="KYI28"/>
      <c r="KYJ28"/>
      <c r="KYK28"/>
      <c r="KYL28"/>
      <c r="KYM28"/>
      <c r="KYN28"/>
      <c r="KYO28"/>
      <c r="KYP28"/>
      <c r="KYQ28"/>
      <c r="KYR28"/>
      <c r="KYS28"/>
      <c r="KYT28"/>
      <c r="KYU28"/>
      <c r="KYV28"/>
      <c r="KYW28"/>
      <c r="KYX28"/>
      <c r="KYY28"/>
      <c r="KYZ28"/>
      <c r="KZA28"/>
      <c r="KZB28"/>
      <c r="KZC28"/>
      <c r="KZD28"/>
      <c r="KZE28"/>
      <c r="KZF28"/>
      <c r="KZG28"/>
      <c r="KZH28"/>
      <c r="KZI28"/>
      <c r="KZJ28"/>
      <c r="KZK28"/>
      <c r="KZL28"/>
      <c r="KZM28"/>
      <c r="KZN28"/>
      <c r="KZO28"/>
      <c r="KZP28"/>
      <c r="KZQ28"/>
      <c r="KZR28"/>
      <c r="KZS28"/>
      <c r="KZT28"/>
      <c r="KZU28"/>
      <c r="KZV28"/>
      <c r="KZW28"/>
      <c r="KZX28"/>
      <c r="KZY28"/>
      <c r="KZZ28"/>
      <c r="LAA28"/>
      <c r="LAB28"/>
      <c r="LAC28"/>
      <c r="LAD28"/>
      <c r="LAE28"/>
      <c r="LAF28"/>
      <c r="LAG28"/>
      <c r="LAH28"/>
      <c r="LAI28"/>
      <c r="LAJ28"/>
      <c r="LAK28"/>
      <c r="LAL28"/>
      <c r="LAM28"/>
      <c r="LAN28"/>
      <c r="LAO28"/>
      <c r="LAP28"/>
      <c r="LAQ28"/>
      <c r="LAR28"/>
      <c r="LAS28"/>
      <c r="LAT28"/>
      <c r="LAU28"/>
      <c r="LAV28"/>
      <c r="LAW28"/>
      <c r="LAX28"/>
      <c r="LAY28"/>
      <c r="LAZ28"/>
      <c r="LBA28"/>
      <c r="LBB28"/>
      <c r="LBC28"/>
      <c r="LBD28"/>
      <c r="LBE28"/>
      <c r="LBF28"/>
      <c r="LBG28"/>
      <c r="LBH28"/>
      <c r="LBI28"/>
      <c r="LBJ28"/>
      <c r="LBK28"/>
      <c r="LBL28"/>
      <c r="LBM28"/>
      <c r="LBN28"/>
      <c r="LBO28"/>
      <c r="LBP28"/>
      <c r="LBQ28"/>
      <c r="LBR28"/>
      <c r="LBS28"/>
      <c r="LBT28"/>
      <c r="LBU28"/>
      <c r="LBV28"/>
      <c r="LBW28"/>
      <c r="LBX28"/>
      <c r="LBY28"/>
      <c r="LBZ28"/>
      <c r="LCA28"/>
      <c r="LCB28"/>
      <c r="LCC28"/>
      <c r="LCD28"/>
      <c r="LCE28"/>
      <c r="LCF28"/>
      <c r="LCG28"/>
      <c r="LCH28"/>
      <c r="LCI28"/>
      <c r="LCJ28"/>
      <c r="LCK28"/>
      <c r="LCL28"/>
      <c r="LCM28"/>
      <c r="LCN28"/>
      <c r="LCO28"/>
      <c r="LCP28"/>
      <c r="LCQ28"/>
      <c r="LCR28"/>
      <c r="LCS28"/>
      <c r="LCT28"/>
      <c r="LCU28"/>
      <c r="LCV28"/>
      <c r="LCW28"/>
      <c r="LCX28"/>
      <c r="LCY28"/>
      <c r="LCZ28"/>
      <c r="LDA28"/>
      <c r="LDB28"/>
      <c r="LDC28"/>
      <c r="LDD28"/>
      <c r="LDE28"/>
      <c r="LDF28"/>
      <c r="LDG28"/>
      <c r="LDH28"/>
      <c r="LDI28"/>
      <c r="LDJ28"/>
      <c r="LDK28"/>
      <c r="LDL28"/>
      <c r="LDM28"/>
      <c r="LDN28"/>
      <c r="LDO28"/>
      <c r="LDP28"/>
      <c r="LDQ28"/>
      <c r="LDR28"/>
      <c r="LDS28"/>
      <c r="LDT28"/>
      <c r="LDU28"/>
      <c r="LDV28"/>
      <c r="LDW28"/>
      <c r="LDX28"/>
      <c r="LDY28"/>
      <c r="LDZ28"/>
      <c r="LEA28"/>
      <c r="LEB28"/>
      <c r="LEC28"/>
      <c r="LED28"/>
      <c r="LEE28"/>
      <c r="LEF28"/>
      <c r="LEG28"/>
      <c r="LEH28"/>
      <c r="LEI28"/>
      <c r="LEJ28"/>
      <c r="LEK28"/>
      <c r="LEL28"/>
      <c r="LEM28"/>
      <c r="LEN28"/>
      <c r="LEO28"/>
      <c r="LEP28"/>
      <c r="LEQ28"/>
      <c r="LER28"/>
      <c r="LES28"/>
      <c r="LET28"/>
      <c r="LEU28"/>
      <c r="LEV28"/>
      <c r="LEW28"/>
      <c r="LEX28"/>
      <c r="LEY28"/>
      <c r="LEZ28"/>
      <c r="LFA28"/>
      <c r="LFB28"/>
      <c r="LFC28"/>
      <c r="LFD28"/>
      <c r="LFE28"/>
      <c r="LFF28"/>
      <c r="LFG28"/>
      <c r="LFH28"/>
      <c r="LFI28"/>
      <c r="LFJ28"/>
      <c r="LFK28"/>
      <c r="LFL28"/>
      <c r="LFM28"/>
      <c r="LFN28"/>
      <c r="LFO28"/>
      <c r="LFP28"/>
      <c r="LFQ28"/>
      <c r="LFR28"/>
      <c r="LFS28"/>
      <c r="LFT28"/>
      <c r="LFU28"/>
      <c r="LFV28"/>
      <c r="LFW28"/>
      <c r="LFX28"/>
      <c r="LFY28"/>
      <c r="LFZ28"/>
      <c r="LGA28"/>
      <c r="LGB28"/>
      <c r="LGC28"/>
      <c r="LGD28"/>
      <c r="LGE28"/>
      <c r="LGF28"/>
      <c r="LGG28"/>
      <c r="LGH28"/>
      <c r="LGI28"/>
      <c r="LGJ28"/>
      <c r="LGK28"/>
      <c r="LGL28"/>
      <c r="LGM28"/>
      <c r="LGN28"/>
      <c r="LGO28"/>
      <c r="LGP28"/>
      <c r="LGQ28"/>
      <c r="LGR28"/>
      <c r="LGS28"/>
      <c r="LGT28"/>
      <c r="LGU28"/>
      <c r="LGV28"/>
      <c r="LGW28"/>
      <c r="LGX28"/>
      <c r="LGY28"/>
      <c r="LGZ28"/>
      <c r="LHA28"/>
      <c r="LHB28"/>
      <c r="LHC28"/>
      <c r="LHD28"/>
      <c r="LHE28"/>
      <c r="LHF28"/>
      <c r="LHG28"/>
      <c r="LHH28"/>
      <c r="LHI28"/>
      <c r="LHJ28"/>
      <c r="LHK28"/>
      <c r="LHL28"/>
      <c r="LHM28"/>
      <c r="LHN28"/>
      <c r="LHO28"/>
      <c r="LHP28"/>
      <c r="LHQ28"/>
      <c r="LHR28"/>
      <c r="LHS28"/>
      <c r="LHT28"/>
      <c r="LHU28"/>
      <c r="LHV28"/>
      <c r="LHW28"/>
      <c r="LHX28"/>
      <c r="LHY28"/>
      <c r="LHZ28"/>
      <c r="LIA28"/>
      <c r="LIB28"/>
      <c r="LIC28"/>
      <c r="LID28"/>
      <c r="LIE28"/>
      <c r="LIF28"/>
      <c r="LIG28"/>
      <c r="LIH28"/>
      <c r="LII28"/>
      <c r="LIJ28"/>
      <c r="LIK28"/>
      <c r="LIL28"/>
      <c r="LIM28"/>
      <c r="LIN28"/>
      <c r="LIO28"/>
      <c r="LIP28"/>
      <c r="LIQ28"/>
      <c r="LIR28"/>
      <c r="LIS28"/>
      <c r="LIT28"/>
      <c r="LIU28"/>
      <c r="LIV28"/>
      <c r="LIW28"/>
      <c r="LIX28"/>
      <c r="LIY28"/>
      <c r="LIZ28"/>
      <c r="LJA28"/>
      <c r="LJB28"/>
      <c r="LJC28"/>
      <c r="LJD28"/>
      <c r="LJE28"/>
      <c r="LJF28"/>
      <c r="LJG28"/>
      <c r="LJH28"/>
      <c r="LJI28"/>
      <c r="LJJ28"/>
      <c r="LJK28"/>
      <c r="LJL28"/>
      <c r="LJM28"/>
      <c r="LJN28"/>
      <c r="LJO28"/>
      <c r="LJP28"/>
      <c r="LJQ28"/>
      <c r="LJR28"/>
      <c r="LJS28"/>
      <c r="LJT28"/>
      <c r="LJU28"/>
      <c r="LJV28"/>
      <c r="LJW28"/>
      <c r="LJX28"/>
      <c r="LJY28"/>
      <c r="LJZ28"/>
      <c r="LKA28"/>
      <c r="LKB28"/>
      <c r="LKC28"/>
      <c r="LKD28"/>
      <c r="LKE28"/>
      <c r="LKF28"/>
      <c r="LKG28"/>
      <c r="LKH28"/>
      <c r="LKI28"/>
      <c r="LKJ28"/>
      <c r="LKK28"/>
      <c r="LKL28"/>
      <c r="LKM28"/>
      <c r="LKN28"/>
      <c r="LKO28"/>
      <c r="LKP28"/>
      <c r="LKQ28"/>
      <c r="LKR28"/>
      <c r="LKS28"/>
      <c r="LKT28"/>
      <c r="LKU28"/>
      <c r="LKV28"/>
      <c r="LKW28"/>
      <c r="LKX28"/>
      <c r="LKY28"/>
      <c r="LKZ28"/>
      <c r="LLA28"/>
      <c r="LLB28"/>
      <c r="LLC28"/>
      <c r="LLD28"/>
      <c r="LLE28"/>
      <c r="LLF28"/>
      <c r="LLG28"/>
      <c r="LLH28"/>
      <c r="LLI28"/>
      <c r="LLJ28"/>
      <c r="LLK28"/>
      <c r="LLL28"/>
      <c r="LLM28"/>
      <c r="LLN28"/>
      <c r="LLO28"/>
      <c r="LLP28"/>
      <c r="LLQ28"/>
      <c r="LLR28"/>
      <c r="LLS28"/>
      <c r="LLT28"/>
      <c r="LLU28"/>
      <c r="LLV28"/>
      <c r="LLW28"/>
      <c r="LLX28"/>
      <c r="LLY28"/>
      <c r="LLZ28"/>
      <c r="LMA28"/>
      <c r="LMB28"/>
      <c r="LMC28"/>
      <c r="LMD28"/>
      <c r="LME28"/>
      <c r="LMF28"/>
      <c r="LMG28"/>
      <c r="LMH28"/>
      <c r="LMI28"/>
      <c r="LMJ28"/>
      <c r="LMK28"/>
      <c r="LML28"/>
      <c r="LMM28"/>
      <c r="LMN28"/>
      <c r="LMO28"/>
      <c r="LMP28"/>
      <c r="LMQ28"/>
      <c r="LMR28"/>
      <c r="LMS28"/>
      <c r="LMT28"/>
      <c r="LMU28"/>
      <c r="LMV28"/>
      <c r="LMW28"/>
      <c r="LMX28"/>
      <c r="LMY28"/>
      <c r="LMZ28"/>
      <c r="LNA28"/>
      <c r="LNB28"/>
      <c r="LNC28"/>
      <c r="LND28"/>
      <c r="LNE28"/>
      <c r="LNF28"/>
      <c r="LNG28"/>
      <c r="LNH28"/>
      <c r="LNI28"/>
      <c r="LNJ28"/>
      <c r="LNK28"/>
      <c r="LNL28"/>
      <c r="LNM28"/>
      <c r="LNN28"/>
      <c r="LNO28"/>
      <c r="LNP28"/>
      <c r="LNQ28"/>
      <c r="LNR28"/>
      <c r="LNS28"/>
      <c r="LNT28"/>
      <c r="LNU28"/>
      <c r="LNV28"/>
      <c r="LNW28"/>
      <c r="LNX28"/>
      <c r="LNY28"/>
      <c r="LNZ28"/>
      <c r="LOA28"/>
      <c r="LOB28"/>
      <c r="LOC28"/>
      <c r="LOD28"/>
      <c r="LOE28"/>
      <c r="LOF28"/>
      <c r="LOG28"/>
      <c r="LOH28"/>
      <c r="LOI28"/>
      <c r="LOJ28"/>
      <c r="LOK28"/>
      <c r="LOL28"/>
      <c r="LOM28"/>
      <c r="LON28"/>
      <c r="LOO28"/>
      <c r="LOP28"/>
      <c r="LOQ28"/>
      <c r="LOR28"/>
      <c r="LOS28"/>
      <c r="LOT28"/>
      <c r="LOU28"/>
      <c r="LOV28"/>
      <c r="LOW28"/>
      <c r="LOX28"/>
      <c r="LOY28"/>
      <c r="LOZ28"/>
      <c r="LPA28"/>
      <c r="LPB28"/>
      <c r="LPC28"/>
      <c r="LPD28"/>
      <c r="LPE28"/>
      <c r="LPF28"/>
      <c r="LPG28"/>
      <c r="LPH28"/>
      <c r="LPI28"/>
      <c r="LPJ28"/>
      <c r="LPK28"/>
      <c r="LPL28"/>
      <c r="LPM28"/>
      <c r="LPN28"/>
      <c r="LPO28"/>
      <c r="LPP28"/>
      <c r="LPQ28"/>
      <c r="LPR28"/>
      <c r="LPS28"/>
      <c r="LPT28"/>
      <c r="LPU28"/>
      <c r="LPV28"/>
      <c r="LPW28"/>
      <c r="LPX28"/>
      <c r="LPY28"/>
      <c r="LPZ28"/>
      <c r="LQA28"/>
      <c r="LQB28"/>
      <c r="LQC28"/>
      <c r="LQD28"/>
      <c r="LQE28"/>
      <c r="LQF28"/>
      <c r="LQG28"/>
      <c r="LQH28"/>
      <c r="LQI28"/>
      <c r="LQJ28"/>
      <c r="LQK28"/>
      <c r="LQL28"/>
      <c r="LQM28"/>
      <c r="LQN28"/>
      <c r="LQO28"/>
      <c r="LQP28"/>
      <c r="LQQ28"/>
      <c r="LQR28"/>
      <c r="LQS28"/>
      <c r="LQT28"/>
      <c r="LQU28"/>
      <c r="LQV28"/>
      <c r="LQW28"/>
      <c r="LQX28"/>
      <c r="LQY28"/>
      <c r="LQZ28"/>
      <c r="LRA28"/>
      <c r="LRB28"/>
      <c r="LRC28"/>
      <c r="LRD28"/>
      <c r="LRE28"/>
      <c r="LRF28"/>
      <c r="LRG28"/>
      <c r="LRH28"/>
      <c r="LRI28"/>
      <c r="LRJ28"/>
      <c r="LRK28"/>
      <c r="LRL28"/>
      <c r="LRM28"/>
      <c r="LRN28"/>
      <c r="LRO28"/>
      <c r="LRP28"/>
      <c r="LRQ28"/>
      <c r="LRR28"/>
      <c r="LRS28"/>
      <c r="LRT28"/>
      <c r="LRU28"/>
      <c r="LRV28"/>
      <c r="LRW28"/>
      <c r="LRX28"/>
      <c r="LRY28"/>
      <c r="LRZ28"/>
      <c r="LSA28"/>
      <c r="LSB28"/>
      <c r="LSC28"/>
      <c r="LSD28"/>
      <c r="LSE28"/>
      <c r="LSF28"/>
      <c r="LSG28"/>
      <c r="LSH28"/>
      <c r="LSI28"/>
      <c r="LSJ28"/>
      <c r="LSK28"/>
      <c r="LSL28"/>
      <c r="LSM28"/>
      <c r="LSN28"/>
      <c r="LSO28"/>
      <c r="LSP28"/>
      <c r="LSQ28"/>
      <c r="LSR28"/>
      <c r="LSS28"/>
      <c r="LST28"/>
      <c r="LSU28"/>
      <c r="LSV28"/>
      <c r="LSW28"/>
      <c r="LSX28"/>
      <c r="LSY28"/>
      <c r="LSZ28"/>
      <c r="LTA28"/>
      <c r="LTB28"/>
      <c r="LTC28"/>
      <c r="LTD28"/>
      <c r="LTE28"/>
      <c r="LTF28"/>
      <c r="LTG28"/>
      <c r="LTH28"/>
      <c r="LTI28"/>
      <c r="LTJ28"/>
      <c r="LTK28"/>
      <c r="LTL28"/>
      <c r="LTM28"/>
      <c r="LTN28"/>
      <c r="LTO28"/>
      <c r="LTP28"/>
      <c r="LTQ28"/>
      <c r="LTR28"/>
      <c r="LTS28"/>
      <c r="LTT28"/>
      <c r="LTU28"/>
      <c r="LTV28"/>
      <c r="LTW28"/>
      <c r="LTX28"/>
      <c r="LTY28"/>
      <c r="LTZ28"/>
      <c r="LUA28"/>
      <c r="LUB28"/>
      <c r="LUC28"/>
      <c r="LUD28"/>
      <c r="LUE28"/>
      <c r="LUF28"/>
      <c r="LUG28"/>
      <c r="LUH28"/>
      <c r="LUI28"/>
      <c r="LUJ28"/>
      <c r="LUK28"/>
      <c r="LUL28"/>
      <c r="LUM28"/>
      <c r="LUN28"/>
      <c r="LUO28"/>
      <c r="LUP28"/>
      <c r="LUQ28"/>
      <c r="LUR28"/>
      <c r="LUS28"/>
      <c r="LUT28"/>
      <c r="LUU28"/>
      <c r="LUV28"/>
      <c r="LUW28"/>
      <c r="LUX28"/>
      <c r="LUY28"/>
      <c r="LUZ28"/>
      <c r="LVA28"/>
      <c r="LVB28"/>
      <c r="LVC28"/>
      <c r="LVD28"/>
      <c r="LVE28"/>
      <c r="LVF28"/>
      <c r="LVG28"/>
      <c r="LVH28"/>
      <c r="LVI28"/>
      <c r="LVJ28"/>
      <c r="LVK28"/>
      <c r="LVL28"/>
      <c r="LVM28"/>
      <c r="LVN28"/>
      <c r="LVO28"/>
      <c r="LVP28"/>
      <c r="LVQ28"/>
      <c r="LVR28"/>
      <c r="LVS28"/>
      <c r="LVT28"/>
      <c r="LVU28"/>
      <c r="LVV28"/>
      <c r="LVW28"/>
      <c r="LVX28"/>
      <c r="LVY28"/>
      <c r="LVZ28"/>
      <c r="LWA28"/>
      <c r="LWB28"/>
      <c r="LWC28"/>
      <c r="LWD28"/>
      <c r="LWE28"/>
      <c r="LWF28"/>
      <c r="LWG28"/>
      <c r="LWH28"/>
      <c r="LWI28"/>
      <c r="LWJ28"/>
      <c r="LWK28"/>
      <c r="LWL28"/>
      <c r="LWM28"/>
      <c r="LWN28"/>
      <c r="LWO28"/>
      <c r="LWP28"/>
      <c r="LWQ28"/>
      <c r="LWR28"/>
      <c r="LWS28"/>
      <c r="LWT28"/>
      <c r="LWU28"/>
      <c r="LWV28"/>
      <c r="LWW28"/>
      <c r="LWX28"/>
      <c r="LWY28"/>
      <c r="LWZ28"/>
      <c r="LXA28"/>
      <c r="LXB28"/>
      <c r="LXC28"/>
      <c r="LXD28"/>
      <c r="LXE28"/>
      <c r="LXF28"/>
      <c r="LXG28"/>
      <c r="LXH28"/>
      <c r="LXI28"/>
      <c r="LXJ28"/>
      <c r="LXK28"/>
      <c r="LXL28"/>
      <c r="LXM28"/>
      <c r="LXN28"/>
      <c r="LXO28"/>
      <c r="LXP28"/>
      <c r="LXQ28"/>
      <c r="LXR28"/>
      <c r="LXS28"/>
      <c r="LXT28"/>
      <c r="LXU28"/>
      <c r="LXV28"/>
      <c r="LXW28"/>
      <c r="LXX28"/>
      <c r="LXY28"/>
      <c r="LXZ28"/>
      <c r="LYA28"/>
      <c r="LYB28"/>
      <c r="LYC28"/>
      <c r="LYD28"/>
      <c r="LYE28"/>
      <c r="LYF28"/>
      <c r="LYG28"/>
      <c r="LYH28"/>
      <c r="LYI28"/>
      <c r="LYJ28"/>
      <c r="LYK28"/>
      <c r="LYL28"/>
      <c r="LYM28"/>
      <c r="LYN28"/>
      <c r="LYO28"/>
      <c r="LYP28"/>
      <c r="LYQ28"/>
      <c r="LYR28"/>
      <c r="LYS28"/>
      <c r="LYT28"/>
      <c r="LYU28"/>
      <c r="LYV28"/>
      <c r="LYW28"/>
      <c r="LYX28"/>
      <c r="LYY28"/>
      <c r="LYZ28"/>
      <c r="LZA28"/>
      <c r="LZB28"/>
      <c r="LZC28"/>
      <c r="LZD28"/>
      <c r="LZE28"/>
      <c r="LZF28"/>
      <c r="LZG28"/>
      <c r="LZH28"/>
      <c r="LZI28"/>
      <c r="LZJ28"/>
      <c r="LZK28"/>
      <c r="LZL28"/>
      <c r="LZM28"/>
      <c r="LZN28"/>
      <c r="LZO28"/>
      <c r="LZP28"/>
      <c r="LZQ28"/>
      <c r="LZR28"/>
      <c r="LZS28"/>
      <c r="LZT28"/>
      <c r="LZU28"/>
      <c r="LZV28"/>
      <c r="LZW28"/>
      <c r="LZX28"/>
      <c r="LZY28"/>
      <c r="LZZ28"/>
      <c r="MAA28"/>
      <c r="MAB28"/>
      <c r="MAC28"/>
      <c r="MAD28"/>
      <c r="MAE28"/>
      <c r="MAF28"/>
      <c r="MAG28"/>
      <c r="MAH28"/>
      <c r="MAI28"/>
      <c r="MAJ28"/>
      <c r="MAK28"/>
      <c r="MAL28"/>
      <c r="MAM28"/>
      <c r="MAN28"/>
      <c r="MAO28"/>
      <c r="MAP28"/>
      <c r="MAQ28"/>
      <c r="MAR28"/>
      <c r="MAS28"/>
      <c r="MAT28"/>
      <c r="MAU28"/>
      <c r="MAV28"/>
      <c r="MAW28"/>
      <c r="MAX28"/>
      <c r="MAY28"/>
      <c r="MAZ28"/>
      <c r="MBA28"/>
      <c r="MBB28"/>
      <c r="MBC28"/>
      <c r="MBD28"/>
      <c r="MBE28"/>
      <c r="MBF28"/>
      <c r="MBG28"/>
      <c r="MBH28"/>
      <c r="MBI28"/>
      <c r="MBJ28"/>
      <c r="MBK28"/>
      <c r="MBL28"/>
      <c r="MBM28"/>
      <c r="MBN28"/>
      <c r="MBO28"/>
      <c r="MBP28"/>
      <c r="MBQ28"/>
      <c r="MBR28"/>
      <c r="MBS28"/>
      <c r="MBT28"/>
      <c r="MBU28"/>
      <c r="MBV28"/>
      <c r="MBW28"/>
      <c r="MBX28"/>
      <c r="MBY28"/>
      <c r="MBZ28"/>
      <c r="MCA28"/>
      <c r="MCB28"/>
      <c r="MCC28"/>
      <c r="MCD28"/>
      <c r="MCE28"/>
      <c r="MCF28"/>
      <c r="MCG28"/>
      <c r="MCH28"/>
      <c r="MCI28"/>
      <c r="MCJ28"/>
      <c r="MCK28"/>
      <c r="MCL28"/>
      <c r="MCM28"/>
      <c r="MCN28"/>
      <c r="MCO28"/>
      <c r="MCP28"/>
      <c r="MCQ28"/>
      <c r="MCR28"/>
      <c r="MCS28"/>
      <c r="MCT28"/>
      <c r="MCU28"/>
      <c r="MCV28"/>
      <c r="MCW28"/>
      <c r="MCX28"/>
      <c r="MCY28"/>
      <c r="MCZ28"/>
      <c r="MDA28"/>
      <c r="MDB28"/>
      <c r="MDC28"/>
      <c r="MDD28"/>
      <c r="MDE28"/>
      <c r="MDF28"/>
      <c r="MDG28"/>
      <c r="MDH28"/>
      <c r="MDI28"/>
      <c r="MDJ28"/>
      <c r="MDK28"/>
      <c r="MDL28"/>
      <c r="MDM28"/>
      <c r="MDN28"/>
      <c r="MDO28"/>
      <c r="MDP28"/>
      <c r="MDQ28"/>
      <c r="MDR28"/>
      <c r="MDS28"/>
      <c r="MDT28"/>
      <c r="MDU28"/>
      <c r="MDV28"/>
      <c r="MDW28"/>
      <c r="MDX28"/>
      <c r="MDY28"/>
      <c r="MDZ28"/>
      <c r="MEA28"/>
      <c r="MEB28"/>
      <c r="MEC28"/>
      <c r="MED28"/>
      <c r="MEE28"/>
      <c r="MEF28"/>
      <c r="MEG28"/>
      <c r="MEH28"/>
      <c r="MEI28"/>
      <c r="MEJ28"/>
      <c r="MEK28"/>
      <c r="MEL28"/>
      <c r="MEM28"/>
      <c r="MEN28"/>
      <c r="MEO28"/>
      <c r="MEP28"/>
      <c r="MEQ28"/>
      <c r="MER28"/>
      <c r="MES28"/>
      <c r="MET28"/>
      <c r="MEU28"/>
      <c r="MEV28"/>
      <c r="MEW28"/>
      <c r="MEX28"/>
      <c r="MEY28"/>
      <c r="MEZ28"/>
      <c r="MFA28"/>
      <c r="MFB28"/>
      <c r="MFC28"/>
      <c r="MFD28"/>
      <c r="MFE28"/>
      <c r="MFF28"/>
      <c r="MFG28"/>
      <c r="MFH28"/>
      <c r="MFI28"/>
      <c r="MFJ28"/>
      <c r="MFK28"/>
      <c r="MFL28"/>
      <c r="MFM28"/>
      <c r="MFN28"/>
      <c r="MFO28"/>
      <c r="MFP28"/>
      <c r="MFQ28"/>
      <c r="MFR28"/>
      <c r="MFS28"/>
      <c r="MFT28"/>
      <c r="MFU28"/>
      <c r="MFV28"/>
      <c r="MFW28"/>
      <c r="MFX28"/>
      <c r="MFY28"/>
      <c r="MFZ28"/>
      <c r="MGA28"/>
      <c r="MGB28"/>
      <c r="MGC28"/>
      <c r="MGD28"/>
      <c r="MGE28"/>
      <c r="MGF28"/>
      <c r="MGG28"/>
      <c r="MGH28"/>
      <c r="MGI28"/>
      <c r="MGJ28"/>
      <c r="MGK28"/>
      <c r="MGL28"/>
      <c r="MGM28"/>
      <c r="MGN28"/>
      <c r="MGO28"/>
      <c r="MGP28"/>
      <c r="MGQ28"/>
      <c r="MGR28"/>
      <c r="MGS28"/>
      <c r="MGT28"/>
      <c r="MGU28"/>
      <c r="MGV28"/>
      <c r="MGW28"/>
      <c r="MGX28"/>
      <c r="MGY28"/>
      <c r="MGZ28"/>
      <c r="MHA28"/>
      <c r="MHB28"/>
      <c r="MHC28"/>
      <c r="MHD28"/>
      <c r="MHE28"/>
      <c r="MHF28"/>
      <c r="MHG28"/>
      <c r="MHH28"/>
      <c r="MHI28"/>
      <c r="MHJ28"/>
      <c r="MHK28"/>
      <c r="MHL28"/>
      <c r="MHM28"/>
      <c r="MHN28"/>
      <c r="MHO28"/>
      <c r="MHP28"/>
      <c r="MHQ28"/>
      <c r="MHR28"/>
      <c r="MHS28"/>
      <c r="MHT28"/>
      <c r="MHU28"/>
      <c r="MHV28"/>
      <c r="MHW28"/>
      <c r="MHX28"/>
      <c r="MHY28"/>
      <c r="MHZ28"/>
      <c r="MIA28"/>
      <c r="MIB28"/>
      <c r="MIC28"/>
      <c r="MID28"/>
      <c r="MIE28"/>
      <c r="MIF28"/>
      <c r="MIG28"/>
      <c r="MIH28"/>
      <c r="MII28"/>
      <c r="MIJ28"/>
      <c r="MIK28"/>
      <c r="MIL28"/>
      <c r="MIM28"/>
      <c r="MIN28"/>
      <c r="MIO28"/>
      <c r="MIP28"/>
      <c r="MIQ28"/>
      <c r="MIR28"/>
      <c r="MIS28"/>
      <c r="MIT28"/>
      <c r="MIU28"/>
      <c r="MIV28"/>
      <c r="MIW28"/>
      <c r="MIX28"/>
      <c r="MIY28"/>
      <c r="MIZ28"/>
      <c r="MJA28"/>
      <c r="MJB28"/>
      <c r="MJC28"/>
      <c r="MJD28"/>
      <c r="MJE28"/>
      <c r="MJF28"/>
      <c r="MJG28"/>
      <c r="MJH28"/>
      <c r="MJI28"/>
      <c r="MJJ28"/>
      <c r="MJK28"/>
      <c r="MJL28"/>
      <c r="MJM28"/>
      <c r="MJN28"/>
      <c r="MJO28"/>
      <c r="MJP28"/>
      <c r="MJQ28"/>
      <c r="MJR28"/>
      <c r="MJS28"/>
      <c r="MJT28"/>
      <c r="MJU28"/>
      <c r="MJV28"/>
      <c r="MJW28"/>
      <c r="MJX28"/>
      <c r="MJY28"/>
      <c r="MJZ28"/>
      <c r="MKA28"/>
      <c r="MKB28"/>
      <c r="MKC28"/>
      <c r="MKD28"/>
      <c r="MKE28"/>
      <c r="MKF28"/>
      <c r="MKG28"/>
      <c r="MKH28"/>
      <c r="MKI28"/>
      <c r="MKJ28"/>
      <c r="MKK28"/>
      <c r="MKL28"/>
      <c r="MKM28"/>
      <c r="MKN28"/>
      <c r="MKO28"/>
      <c r="MKP28"/>
      <c r="MKQ28"/>
      <c r="MKR28"/>
      <c r="MKS28"/>
      <c r="MKT28"/>
      <c r="MKU28"/>
      <c r="MKV28"/>
      <c r="MKW28"/>
      <c r="MKX28"/>
      <c r="MKY28"/>
      <c r="MKZ28"/>
      <c r="MLA28"/>
      <c r="MLB28"/>
      <c r="MLC28"/>
      <c r="MLD28"/>
      <c r="MLE28"/>
      <c r="MLF28"/>
      <c r="MLG28"/>
      <c r="MLH28"/>
      <c r="MLI28"/>
      <c r="MLJ28"/>
      <c r="MLK28"/>
      <c r="MLL28"/>
      <c r="MLM28"/>
      <c r="MLN28"/>
      <c r="MLO28"/>
      <c r="MLP28"/>
      <c r="MLQ28"/>
      <c r="MLR28"/>
      <c r="MLS28"/>
      <c r="MLT28"/>
      <c r="MLU28"/>
      <c r="MLV28"/>
      <c r="MLW28"/>
      <c r="MLX28"/>
      <c r="MLY28"/>
      <c r="MLZ28"/>
      <c r="MMA28"/>
      <c r="MMB28"/>
      <c r="MMC28"/>
      <c r="MMD28"/>
      <c r="MME28"/>
      <c r="MMF28"/>
      <c r="MMG28"/>
      <c r="MMH28"/>
      <c r="MMI28"/>
      <c r="MMJ28"/>
      <c r="MMK28"/>
      <c r="MML28"/>
      <c r="MMM28"/>
      <c r="MMN28"/>
      <c r="MMO28"/>
      <c r="MMP28"/>
      <c r="MMQ28"/>
      <c r="MMR28"/>
      <c r="MMS28"/>
      <c r="MMT28"/>
      <c r="MMU28"/>
      <c r="MMV28"/>
      <c r="MMW28"/>
      <c r="MMX28"/>
      <c r="MMY28"/>
      <c r="MMZ28"/>
      <c r="MNA28"/>
      <c r="MNB28"/>
      <c r="MNC28"/>
      <c r="MND28"/>
      <c r="MNE28"/>
      <c r="MNF28"/>
      <c r="MNG28"/>
      <c r="MNH28"/>
      <c r="MNI28"/>
      <c r="MNJ28"/>
      <c r="MNK28"/>
      <c r="MNL28"/>
      <c r="MNM28"/>
      <c r="MNN28"/>
      <c r="MNO28"/>
      <c r="MNP28"/>
      <c r="MNQ28"/>
      <c r="MNR28"/>
      <c r="MNS28"/>
      <c r="MNT28"/>
      <c r="MNU28"/>
      <c r="MNV28"/>
      <c r="MNW28"/>
      <c r="MNX28"/>
      <c r="MNY28"/>
      <c r="MNZ28"/>
      <c r="MOA28"/>
      <c r="MOB28"/>
      <c r="MOC28"/>
      <c r="MOD28"/>
      <c r="MOE28"/>
      <c r="MOF28"/>
      <c r="MOG28"/>
      <c r="MOH28"/>
      <c r="MOI28"/>
      <c r="MOJ28"/>
      <c r="MOK28"/>
      <c r="MOL28"/>
      <c r="MOM28"/>
      <c r="MON28"/>
      <c r="MOO28"/>
      <c r="MOP28"/>
      <c r="MOQ28"/>
      <c r="MOR28"/>
      <c r="MOS28"/>
      <c r="MOT28"/>
      <c r="MOU28"/>
      <c r="MOV28"/>
      <c r="MOW28"/>
      <c r="MOX28"/>
      <c r="MOY28"/>
      <c r="MOZ28"/>
      <c r="MPA28"/>
      <c r="MPB28"/>
      <c r="MPC28"/>
      <c r="MPD28"/>
      <c r="MPE28"/>
      <c r="MPF28"/>
      <c r="MPG28"/>
      <c r="MPH28"/>
      <c r="MPI28"/>
      <c r="MPJ28"/>
      <c r="MPK28"/>
      <c r="MPL28"/>
      <c r="MPM28"/>
      <c r="MPN28"/>
      <c r="MPO28"/>
      <c r="MPP28"/>
      <c r="MPQ28"/>
      <c r="MPR28"/>
      <c r="MPS28"/>
      <c r="MPT28"/>
      <c r="MPU28"/>
      <c r="MPV28"/>
      <c r="MPW28"/>
      <c r="MPX28"/>
      <c r="MPY28"/>
      <c r="MPZ28"/>
      <c r="MQA28"/>
      <c r="MQB28"/>
      <c r="MQC28"/>
      <c r="MQD28"/>
      <c r="MQE28"/>
      <c r="MQF28"/>
      <c r="MQG28"/>
      <c r="MQH28"/>
      <c r="MQI28"/>
      <c r="MQJ28"/>
      <c r="MQK28"/>
      <c r="MQL28"/>
      <c r="MQM28"/>
      <c r="MQN28"/>
      <c r="MQO28"/>
      <c r="MQP28"/>
      <c r="MQQ28"/>
      <c r="MQR28"/>
      <c r="MQS28"/>
      <c r="MQT28"/>
      <c r="MQU28"/>
      <c r="MQV28"/>
      <c r="MQW28"/>
      <c r="MQX28"/>
      <c r="MQY28"/>
      <c r="MQZ28"/>
      <c r="MRA28"/>
      <c r="MRB28"/>
      <c r="MRC28"/>
      <c r="MRD28"/>
      <c r="MRE28"/>
      <c r="MRF28"/>
      <c r="MRG28"/>
      <c r="MRH28"/>
      <c r="MRI28"/>
      <c r="MRJ28"/>
      <c r="MRK28"/>
      <c r="MRL28"/>
      <c r="MRM28"/>
      <c r="MRN28"/>
      <c r="MRO28"/>
      <c r="MRP28"/>
      <c r="MRQ28"/>
      <c r="MRR28"/>
      <c r="MRS28"/>
      <c r="MRT28"/>
      <c r="MRU28"/>
      <c r="MRV28"/>
      <c r="MRW28"/>
      <c r="MRX28"/>
      <c r="MRY28"/>
      <c r="MRZ28"/>
      <c r="MSA28"/>
      <c r="MSB28"/>
      <c r="MSC28"/>
      <c r="MSD28"/>
      <c r="MSE28"/>
      <c r="MSF28"/>
      <c r="MSG28"/>
      <c r="MSH28"/>
      <c r="MSI28"/>
      <c r="MSJ28"/>
      <c r="MSK28"/>
      <c r="MSL28"/>
      <c r="MSM28"/>
      <c r="MSN28"/>
      <c r="MSO28"/>
      <c r="MSP28"/>
      <c r="MSQ28"/>
      <c r="MSR28"/>
      <c r="MSS28"/>
      <c r="MST28"/>
      <c r="MSU28"/>
      <c r="MSV28"/>
      <c r="MSW28"/>
      <c r="MSX28"/>
      <c r="MSY28"/>
      <c r="MSZ28"/>
      <c r="MTA28"/>
      <c r="MTB28"/>
      <c r="MTC28"/>
      <c r="MTD28"/>
      <c r="MTE28"/>
      <c r="MTF28"/>
      <c r="MTG28"/>
      <c r="MTH28"/>
      <c r="MTI28"/>
      <c r="MTJ28"/>
      <c r="MTK28"/>
      <c r="MTL28"/>
      <c r="MTM28"/>
      <c r="MTN28"/>
      <c r="MTO28"/>
      <c r="MTP28"/>
      <c r="MTQ28"/>
      <c r="MTR28"/>
      <c r="MTS28"/>
      <c r="MTT28"/>
      <c r="MTU28"/>
      <c r="MTV28"/>
      <c r="MTW28"/>
      <c r="MTX28"/>
      <c r="MTY28"/>
      <c r="MTZ28"/>
      <c r="MUA28"/>
      <c r="MUB28"/>
      <c r="MUC28"/>
      <c r="MUD28"/>
      <c r="MUE28"/>
      <c r="MUF28"/>
      <c r="MUG28"/>
      <c r="MUH28"/>
      <c r="MUI28"/>
      <c r="MUJ28"/>
      <c r="MUK28"/>
      <c r="MUL28"/>
      <c r="MUM28"/>
      <c r="MUN28"/>
      <c r="MUO28"/>
      <c r="MUP28"/>
      <c r="MUQ28"/>
      <c r="MUR28"/>
      <c r="MUS28"/>
      <c r="MUT28"/>
      <c r="MUU28"/>
      <c r="MUV28"/>
      <c r="MUW28"/>
      <c r="MUX28"/>
      <c r="MUY28"/>
      <c r="MUZ28"/>
      <c r="MVA28"/>
      <c r="MVB28"/>
      <c r="MVC28"/>
      <c r="MVD28"/>
      <c r="MVE28"/>
      <c r="MVF28"/>
      <c r="MVG28"/>
      <c r="MVH28"/>
      <c r="MVI28"/>
      <c r="MVJ28"/>
      <c r="MVK28"/>
      <c r="MVL28"/>
      <c r="MVM28"/>
      <c r="MVN28"/>
      <c r="MVO28"/>
      <c r="MVP28"/>
      <c r="MVQ28"/>
      <c r="MVR28"/>
      <c r="MVS28"/>
      <c r="MVT28"/>
      <c r="MVU28"/>
      <c r="MVV28"/>
      <c r="MVW28"/>
      <c r="MVX28"/>
      <c r="MVY28"/>
      <c r="MVZ28"/>
      <c r="MWA28"/>
      <c r="MWB28"/>
      <c r="MWC28"/>
      <c r="MWD28"/>
      <c r="MWE28"/>
      <c r="MWF28"/>
      <c r="MWG28"/>
      <c r="MWH28"/>
      <c r="MWI28"/>
      <c r="MWJ28"/>
      <c r="MWK28"/>
      <c r="MWL28"/>
      <c r="MWM28"/>
      <c r="MWN28"/>
      <c r="MWO28"/>
      <c r="MWP28"/>
      <c r="MWQ28"/>
      <c r="MWR28"/>
      <c r="MWS28"/>
      <c r="MWT28"/>
      <c r="MWU28"/>
      <c r="MWV28"/>
      <c r="MWW28"/>
      <c r="MWX28"/>
      <c r="MWY28"/>
      <c r="MWZ28"/>
      <c r="MXA28"/>
      <c r="MXB28"/>
      <c r="MXC28"/>
      <c r="MXD28"/>
      <c r="MXE28"/>
      <c r="MXF28"/>
      <c r="MXG28"/>
      <c r="MXH28"/>
      <c r="MXI28"/>
      <c r="MXJ28"/>
      <c r="MXK28"/>
      <c r="MXL28"/>
      <c r="MXM28"/>
      <c r="MXN28"/>
      <c r="MXO28"/>
      <c r="MXP28"/>
      <c r="MXQ28"/>
      <c r="MXR28"/>
      <c r="MXS28"/>
      <c r="MXT28"/>
      <c r="MXU28"/>
      <c r="MXV28"/>
      <c r="MXW28"/>
      <c r="MXX28"/>
      <c r="MXY28"/>
      <c r="MXZ28"/>
      <c r="MYA28"/>
      <c r="MYB28"/>
      <c r="MYC28"/>
      <c r="MYD28"/>
      <c r="MYE28"/>
      <c r="MYF28"/>
      <c r="MYG28"/>
      <c r="MYH28"/>
      <c r="MYI28"/>
      <c r="MYJ28"/>
      <c r="MYK28"/>
      <c r="MYL28"/>
      <c r="MYM28"/>
      <c r="MYN28"/>
      <c r="MYO28"/>
      <c r="MYP28"/>
      <c r="MYQ28"/>
      <c r="MYR28"/>
      <c r="MYS28"/>
      <c r="MYT28"/>
      <c r="MYU28"/>
      <c r="MYV28"/>
      <c r="MYW28"/>
      <c r="MYX28"/>
      <c r="MYY28"/>
      <c r="MYZ28"/>
      <c r="MZA28"/>
      <c r="MZB28"/>
      <c r="MZC28"/>
      <c r="MZD28"/>
      <c r="MZE28"/>
      <c r="MZF28"/>
      <c r="MZG28"/>
      <c r="MZH28"/>
      <c r="MZI28"/>
      <c r="MZJ28"/>
      <c r="MZK28"/>
      <c r="MZL28"/>
      <c r="MZM28"/>
      <c r="MZN28"/>
      <c r="MZO28"/>
      <c r="MZP28"/>
      <c r="MZQ28"/>
      <c r="MZR28"/>
      <c r="MZS28"/>
      <c r="MZT28"/>
      <c r="MZU28"/>
      <c r="MZV28"/>
      <c r="MZW28"/>
      <c r="MZX28"/>
      <c r="MZY28"/>
      <c r="MZZ28"/>
      <c r="NAA28"/>
      <c r="NAB28"/>
      <c r="NAC28"/>
      <c r="NAD28"/>
      <c r="NAE28"/>
      <c r="NAF28"/>
      <c r="NAG28"/>
      <c r="NAH28"/>
      <c r="NAI28"/>
      <c r="NAJ28"/>
      <c r="NAK28"/>
      <c r="NAL28"/>
      <c r="NAM28"/>
      <c r="NAN28"/>
      <c r="NAO28"/>
      <c r="NAP28"/>
      <c r="NAQ28"/>
      <c r="NAR28"/>
      <c r="NAS28"/>
      <c r="NAT28"/>
      <c r="NAU28"/>
      <c r="NAV28"/>
      <c r="NAW28"/>
      <c r="NAX28"/>
      <c r="NAY28"/>
      <c r="NAZ28"/>
      <c r="NBA28"/>
      <c r="NBB28"/>
      <c r="NBC28"/>
      <c r="NBD28"/>
      <c r="NBE28"/>
      <c r="NBF28"/>
      <c r="NBG28"/>
      <c r="NBH28"/>
      <c r="NBI28"/>
      <c r="NBJ28"/>
      <c r="NBK28"/>
      <c r="NBL28"/>
      <c r="NBM28"/>
      <c r="NBN28"/>
      <c r="NBO28"/>
      <c r="NBP28"/>
      <c r="NBQ28"/>
      <c r="NBR28"/>
      <c r="NBS28"/>
      <c r="NBT28"/>
      <c r="NBU28"/>
      <c r="NBV28"/>
      <c r="NBW28"/>
      <c r="NBX28"/>
      <c r="NBY28"/>
      <c r="NBZ28"/>
      <c r="NCA28"/>
      <c r="NCB28"/>
      <c r="NCC28"/>
      <c r="NCD28"/>
      <c r="NCE28"/>
      <c r="NCF28"/>
      <c r="NCG28"/>
      <c r="NCH28"/>
      <c r="NCI28"/>
      <c r="NCJ28"/>
      <c r="NCK28"/>
      <c r="NCL28"/>
      <c r="NCM28"/>
      <c r="NCN28"/>
      <c r="NCO28"/>
      <c r="NCP28"/>
      <c r="NCQ28"/>
      <c r="NCR28"/>
      <c r="NCS28"/>
      <c r="NCT28"/>
      <c r="NCU28"/>
      <c r="NCV28"/>
      <c r="NCW28"/>
      <c r="NCX28"/>
      <c r="NCY28"/>
      <c r="NCZ28"/>
      <c r="NDA28"/>
      <c r="NDB28"/>
      <c r="NDC28"/>
      <c r="NDD28"/>
      <c r="NDE28"/>
      <c r="NDF28"/>
      <c r="NDG28"/>
      <c r="NDH28"/>
      <c r="NDI28"/>
      <c r="NDJ28"/>
      <c r="NDK28"/>
      <c r="NDL28"/>
      <c r="NDM28"/>
      <c r="NDN28"/>
      <c r="NDO28"/>
      <c r="NDP28"/>
      <c r="NDQ28"/>
      <c r="NDR28"/>
      <c r="NDS28"/>
      <c r="NDT28"/>
      <c r="NDU28"/>
      <c r="NDV28"/>
      <c r="NDW28"/>
      <c r="NDX28"/>
      <c r="NDY28"/>
      <c r="NDZ28"/>
      <c r="NEA28"/>
      <c r="NEB28"/>
      <c r="NEC28"/>
      <c r="NED28"/>
      <c r="NEE28"/>
      <c r="NEF28"/>
      <c r="NEG28"/>
      <c r="NEH28"/>
      <c r="NEI28"/>
      <c r="NEJ28"/>
      <c r="NEK28"/>
      <c r="NEL28"/>
      <c r="NEM28"/>
      <c r="NEN28"/>
      <c r="NEO28"/>
      <c r="NEP28"/>
      <c r="NEQ28"/>
      <c r="NER28"/>
      <c r="NES28"/>
      <c r="NET28"/>
      <c r="NEU28"/>
      <c r="NEV28"/>
      <c r="NEW28"/>
      <c r="NEX28"/>
      <c r="NEY28"/>
      <c r="NEZ28"/>
      <c r="NFA28"/>
      <c r="NFB28"/>
      <c r="NFC28"/>
      <c r="NFD28"/>
      <c r="NFE28"/>
      <c r="NFF28"/>
      <c r="NFG28"/>
      <c r="NFH28"/>
      <c r="NFI28"/>
      <c r="NFJ28"/>
      <c r="NFK28"/>
      <c r="NFL28"/>
      <c r="NFM28"/>
      <c r="NFN28"/>
      <c r="NFO28"/>
      <c r="NFP28"/>
      <c r="NFQ28"/>
      <c r="NFR28"/>
      <c r="NFS28"/>
      <c r="NFT28"/>
      <c r="NFU28"/>
      <c r="NFV28"/>
      <c r="NFW28"/>
      <c r="NFX28"/>
      <c r="NFY28"/>
      <c r="NFZ28"/>
      <c r="NGA28"/>
      <c r="NGB28"/>
      <c r="NGC28"/>
      <c r="NGD28"/>
      <c r="NGE28"/>
      <c r="NGF28"/>
      <c r="NGG28"/>
      <c r="NGH28"/>
      <c r="NGI28"/>
      <c r="NGJ28"/>
      <c r="NGK28"/>
      <c r="NGL28"/>
      <c r="NGM28"/>
      <c r="NGN28"/>
      <c r="NGO28"/>
      <c r="NGP28"/>
      <c r="NGQ28"/>
      <c r="NGR28"/>
      <c r="NGS28"/>
      <c r="NGT28"/>
      <c r="NGU28"/>
      <c r="NGV28"/>
      <c r="NGW28"/>
      <c r="NGX28"/>
      <c r="NGY28"/>
      <c r="NGZ28"/>
      <c r="NHA28"/>
      <c r="NHB28"/>
      <c r="NHC28"/>
      <c r="NHD28"/>
      <c r="NHE28"/>
      <c r="NHF28"/>
      <c r="NHG28"/>
      <c r="NHH28"/>
      <c r="NHI28"/>
      <c r="NHJ28"/>
      <c r="NHK28"/>
      <c r="NHL28"/>
      <c r="NHM28"/>
      <c r="NHN28"/>
      <c r="NHO28"/>
      <c r="NHP28"/>
      <c r="NHQ28"/>
      <c r="NHR28"/>
      <c r="NHS28"/>
      <c r="NHT28"/>
      <c r="NHU28"/>
      <c r="NHV28"/>
      <c r="NHW28"/>
      <c r="NHX28"/>
      <c r="NHY28"/>
      <c r="NHZ28"/>
      <c r="NIA28"/>
      <c r="NIB28"/>
      <c r="NIC28"/>
      <c r="NID28"/>
      <c r="NIE28"/>
      <c r="NIF28"/>
      <c r="NIG28"/>
      <c r="NIH28"/>
      <c r="NII28"/>
      <c r="NIJ28"/>
      <c r="NIK28"/>
      <c r="NIL28"/>
      <c r="NIM28"/>
      <c r="NIN28"/>
      <c r="NIO28"/>
      <c r="NIP28"/>
      <c r="NIQ28"/>
      <c r="NIR28"/>
      <c r="NIS28"/>
      <c r="NIT28"/>
      <c r="NIU28"/>
      <c r="NIV28"/>
      <c r="NIW28"/>
      <c r="NIX28"/>
      <c r="NIY28"/>
      <c r="NIZ28"/>
      <c r="NJA28"/>
      <c r="NJB28"/>
      <c r="NJC28"/>
      <c r="NJD28"/>
      <c r="NJE28"/>
      <c r="NJF28"/>
      <c r="NJG28"/>
      <c r="NJH28"/>
      <c r="NJI28"/>
      <c r="NJJ28"/>
      <c r="NJK28"/>
      <c r="NJL28"/>
      <c r="NJM28"/>
      <c r="NJN28"/>
      <c r="NJO28"/>
      <c r="NJP28"/>
      <c r="NJQ28"/>
      <c r="NJR28"/>
      <c r="NJS28"/>
      <c r="NJT28"/>
      <c r="NJU28"/>
      <c r="NJV28"/>
      <c r="NJW28"/>
      <c r="NJX28"/>
      <c r="NJY28"/>
      <c r="NJZ28"/>
      <c r="NKA28"/>
      <c r="NKB28"/>
      <c r="NKC28"/>
      <c r="NKD28"/>
      <c r="NKE28"/>
      <c r="NKF28"/>
      <c r="NKG28"/>
      <c r="NKH28"/>
      <c r="NKI28"/>
      <c r="NKJ28"/>
      <c r="NKK28"/>
      <c r="NKL28"/>
      <c r="NKM28"/>
      <c r="NKN28"/>
      <c r="NKO28"/>
      <c r="NKP28"/>
      <c r="NKQ28"/>
      <c r="NKR28"/>
      <c r="NKS28"/>
      <c r="NKT28"/>
      <c r="NKU28"/>
      <c r="NKV28"/>
      <c r="NKW28"/>
      <c r="NKX28"/>
      <c r="NKY28"/>
      <c r="NKZ28"/>
      <c r="NLA28"/>
      <c r="NLB28"/>
      <c r="NLC28"/>
      <c r="NLD28"/>
      <c r="NLE28"/>
      <c r="NLF28"/>
      <c r="NLG28"/>
      <c r="NLH28"/>
      <c r="NLI28"/>
      <c r="NLJ28"/>
      <c r="NLK28"/>
      <c r="NLL28"/>
      <c r="NLM28"/>
      <c r="NLN28"/>
      <c r="NLO28"/>
      <c r="NLP28"/>
      <c r="NLQ28"/>
      <c r="NLR28"/>
      <c r="NLS28"/>
      <c r="NLT28"/>
      <c r="NLU28"/>
      <c r="NLV28"/>
      <c r="NLW28"/>
      <c r="NLX28"/>
      <c r="NLY28"/>
      <c r="NLZ28"/>
      <c r="NMA28"/>
      <c r="NMB28"/>
      <c r="NMC28"/>
      <c r="NMD28"/>
      <c r="NME28"/>
      <c r="NMF28"/>
      <c r="NMG28"/>
      <c r="NMH28"/>
      <c r="NMI28"/>
      <c r="NMJ28"/>
      <c r="NMK28"/>
      <c r="NML28"/>
      <c r="NMM28"/>
      <c r="NMN28"/>
      <c r="NMO28"/>
      <c r="NMP28"/>
      <c r="NMQ28"/>
      <c r="NMR28"/>
      <c r="NMS28"/>
      <c r="NMT28"/>
      <c r="NMU28"/>
      <c r="NMV28"/>
      <c r="NMW28"/>
      <c r="NMX28"/>
      <c r="NMY28"/>
      <c r="NMZ28"/>
      <c r="NNA28"/>
      <c r="NNB28"/>
      <c r="NNC28"/>
      <c r="NND28"/>
      <c r="NNE28"/>
      <c r="NNF28"/>
      <c r="NNG28"/>
      <c r="NNH28"/>
      <c r="NNI28"/>
      <c r="NNJ28"/>
      <c r="NNK28"/>
      <c r="NNL28"/>
      <c r="NNM28"/>
      <c r="NNN28"/>
      <c r="NNO28"/>
      <c r="NNP28"/>
      <c r="NNQ28"/>
      <c r="NNR28"/>
      <c r="NNS28"/>
      <c r="NNT28"/>
      <c r="NNU28"/>
      <c r="NNV28"/>
      <c r="NNW28"/>
      <c r="NNX28"/>
      <c r="NNY28"/>
      <c r="NNZ28"/>
      <c r="NOA28"/>
      <c r="NOB28"/>
      <c r="NOC28"/>
      <c r="NOD28"/>
      <c r="NOE28"/>
      <c r="NOF28"/>
      <c r="NOG28"/>
      <c r="NOH28"/>
      <c r="NOI28"/>
      <c r="NOJ28"/>
      <c r="NOK28"/>
      <c r="NOL28"/>
      <c r="NOM28"/>
      <c r="NON28"/>
      <c r="NOO28"/>
      <c r="NOP28"/>
      <c r="NOQ28"/>
      <c r="NOR28"/>
      <c r="NOS28"/>
      <c r="NOT28"/>
      <c r="NOU28"/>
      <c r="NOV28"/>
      <c r="NOW28"/>
      <c r="NOX28"/>
      <c r="NOY28"/>
      <c r="NOZ28"/>
      <c r="NPA28"/>
      <c r="NPB28"/>
      <c r="NPC28"/>
      <c r="NPD28"/>
      <c r="NPE28"/>
      <c r="NPF28"/>
      <c r="NPG28"/>
      <c r="NPH28"/>
      <c r="NPI28"/>
      <c r="NPJ28"/>
      <c r="NPK28"/>
      <c r="NPL28"/>
      <c r="NPM28"/>
      <c r="NPN28"/>
      <c r="NPO28"/>
      <c r="NPP28"/>
      <c r="NPQ28"/>
      <c r="NPR28"/>
      <c r="NPS28"/>
      <c r="NPT28"/>
      <c r="NPU28"/>
      <c r="NPV28"/>
      <c r="NPW28"/>
      <c r="NPX28"/>
      <c r="NPY28"/>
      <c r="NPZ28"/>
      <c r="NQA28"/>
      <c r="NQB28"/>
      <c r="NQC28"/>
      <c r="NQD28"/>
      <c r="NQE28"/>
      <c r="NQF28"/>
      <c r="NQG28"/>
      <c r="NQH28"/>
      <c r="NQI28"/>
      <c r="NQJ28"/>
      <c r="NQK28"/>
      <c r="NQL28"/>
      <c r="NQM28"/>
      <c r="NQN28"/>
      <c r="NQO28"/>
      <c r="NQP28"/>
      <c r="NQQ28"/>
      <c r="NQR28"/>
      <c r="NQS28"/>
      <c r="NQT28"/>
      <c r="NQU28"/>
      <c r="NQV28"/>
      <c r="NQW28"/>
      <c r="NQX28"/>
      <c r="NQY28"/>
      <c r="NQZ28"/>
      <c r="NRA28"/>
      <c r="NRB28"/>
      <c r="NRC28"/>
      <c r="NRD28"/>
      <c r="NRE28"/>
      <c r="NRF28"/>
      <c r="NRG28"/>
      <c r="NRH28"/>
      <c r="NRI28"/>
      <c r="NRJ28"/>
      <c r="NRK28"/>
      <c r="NRL28"/>
      <c r="NRM28"/>
      <c r="NRN28"/>
      <c r="NRO28"/>
      <c r="NRP28"/>
      <c r="NRQ28"/>
      <c r="NRR28"/>
      <c r="NRS28"/>
      <c r="NRT28"/>
      <c r="NRU28"/>
      <c r="NRV28"/>
      <c r="NRW28"/>
      <c r="NRX28"/>
      <c r="NRY28"/>
      <c r="NRZ28"/>
      <c r="NSA28"/>
      <c r="NSB28"/>
      <c r="NSC28"/>
      <c r="NSD28"/>
      <c r="NSE28"/>
      <c r="NSF28"/>
      <c r="NSG28"/>
      <c r="NSH28"/>
      <c r="NSI28"/>
      <c r="NSJ28"/>
      <c r="NSK28"/>
      <c r="NSL28"/>
      <c r="NSM28"/>
      <c r="NSN28"/>
      <c r="NSO28"/>
      <c r="NSP28"/>
      <c r="NSQ28"/>
      <c r="NSR28"/>
      <c r="NSS28"/>
      <c r="NST28"/>
      <c r="NSU28"/>
      <c r="NSV28"/>
      <c r="NSW28"/>
      <c r="NSX28"/>
      <c r="NSY28"/>
      <c r="NSZ28"/>
      <c r="NTA28"/>
      <c r="NTB28"/>
      <c r="NTC28"/>
      <c r="NTD28"/>
      <c r="NTE28"/>
      <c r="NTF28"/>
      <c r="NTG28"/>
      <c r="NTH28"/>
      <c r="NTI28"/>
      <c r="NTJ28"/>
      <c r="NTK28"/>
      <c r="NTL28"/>
      <c r="NTM28"/>
      <c r="NTN28"/>
      <c r="NTO28"/>
      <c r="NTP28"/>
      <c r="NTQ28"/>
      <c r="NTR28"/>
      <c r="NTS28"/>
      <c r="NTT28"/>
      <c r="NTU28"/>
      <c r="NTV28"/>
      <c r="NTW28"/>
      <c r="NTX28"/>
      <c r="NTY28"/>
      <c r="NTZ28"/>
      <c r="NUA28"/>
      <c r="NUB28"/>
      <c r="NUC28"/>
      <c r="NUD28"/>
      <c r="NUE28"/>
      <c r="NUF28"/>
      <c r="NUG28"/>
      <c r="NUH28"/>
      <c r="NUI28"/>
      <c r="NUJ28"/>
      <c r="NUK28"/>
      <c r="NUL28"/>
      <c r="NUM28"/>
      <c r="NUN28"/>
      <c r="NUO28"/>
      <c r="NUP28"/>
      <c r="NUQ28"/>
      <c r="NUR28"/>
      <c r="NUS28"/>
      <c r="NUT28"/>
      <c r="NUU28"/>
      <c r="NUV28"/>
      <c r="NUW28"/>
      <c r="NUX28"/>
      <c r="NUY28"/>
      <c r="NUZ28"/>
      <c r="NVA28"/>
      <c r="NVB28"/>
      <c r="NVC28"/>
      <c r="NVD28"/>
      <c r="NVE28"/>
      <c r="NVF28"/>
      <c r="NVG28"/>
      <c r="NVH28"/>
      <c r="NVI28"/>
      <c r="NVJ28"/>
      <c r="NVK28"/>
      <c r="NVL28"/>
      <c r="NVM28"/>
      <c r="NVN28"/>
      <c r="NVO28"/>
      <c r="NVP28"/>
      <c r="NVQ28"/>
      <c r="NVR28"/>
      <c r="NVS28"/>
      <c r="NVT28"/>
      <c r="NVU28"/>
      <c r="NVV28"/>
      <c r="NVW28"/>
      <c r="NVX28"/>
      <c r="NVY28"/>
      <c r="NVZ28"/>
      <c r="NWA28"/>
      <c r="NWB28"/>
      <c r="NWC28"/>
      <c r="NWD28"/>
      <c r="NWE28"/>
      <c r="NWF28"/>
      <c r="NWG28"/>
      <c r="NWH28"/>
      <c r="NWI28"/>
      <c r="NWJ28"/>
      <c r="NWK28"/>
      <c r="NWL28"/>
      <c r="NWM28"/>
      <c r="NWN28"/>
      <c r="NWO28"/>
      <c r="NWP28"/>
      <c r="NWQ28"/>
      <c r="NWR28"/>
      <c r="NWS28"/>
      <c r="NWT28"/>
      <c r="NWU28"/>
      <c r="NWV28"/>
      <c r="NWW28"/>
      <c r="NWX28"/>
      <c r="NWY28"/>
      <c r="NWZ28"/>
      <c r="NXA28"/>
      <c r="NXB28"/>
      <c r="NXC28"/>
      <c r="NXD28"/>
      <c r="NXE28"/>
      <c r="NXF28"/>
      <c r="NXG28"/>
      <c r="NXH28"/>
      <c r="NXI28"/>
      <c r="NXJ28"/>
      <c r="NXK28"/>
      <c r="NXL28"/>
      <c r="NXM28"/>
      <c r="NXN28"/>
      <c r="NXO28"/>
      <c r="NXP28"/>
      <c r="NXQ28"/>
      <c r="NXR28"/>
      <c r="NXS28"/>
      <c r="NXT28"/>
      <c r="NXU28"/>
      <c r="NXV28"/>
      <c r="NXW28"/>
      <c r="NXX28"/>
      <c r="NXY28"/>
      <c r="NXZ28"/>
      <c r="NYA28"/>
      <c r="NYB28"/>
      <c r="NYC28"/>
      <c r="NYD28"/>
      <c r="NYE28"/>
      <c r="NYF28"/>
      <c r="NYG28"/>
      <c r="NYH28"/>
      <c r="NYI28"/>
      <c r="NYJ28"/>
      <c r="NYK28"/>
      <c r="NYL28"/>
      <c r="NYM28"/>
      <c r="NYN28"/>
      <c r="NYO28"/>
      <c r="NYP28"/>
      <c r="NYQ28"/>
      <c r="NYR28"/>
      <c r="NYS28"/>
      <c r="NYT28"/>
      <c r="NYU28"/>
      <c r="NYV28"/>
      <c r="NYW28"/>
      <c r="NYX28"/>
      <c r="NYY28"/>
      <c r="NYZ28"/>
      <c r="NZA28"/>
      <c r="NZB28"/>
      <c r="NZC28"/>
      <c r="NZD28"/>
      <c r="NZE28"/>
      <c r="NZF28"/>
      <c r="NZG28"/>
      <c r="NZH28"/>
      <c r="NZI28"/>
      <c r="NZJ28"/>
      <c r="NZK28"/>
      <c r="NZL28"/>
      <c r="NZM28"/>
      <c r="NZN28"/>
      <c r="NZO28"/>
      <c r="NZP28"/>
      <c r="NZQ28"/>
      <c r="NZR28"/>
      <c r="NZS28"/>
      <c r="NZT28"/>
      <c r="NZU28"/>
      <c r="NZV28"/>
      <c r="NZW28"/>
      <c r="NZX28"/>
      <c r="NZY28"/>
      <c r="NZZ28"/>
      <c r="OAA28"/>
      <c r="OAB28"/>
      <c r="OAC28"/>
      <c r="OAD28"/>
      <c r="OAE28"/>
      <c r="OAF28"/>
      <c r="OAG28"/>
      <c r="OAH28"/>
      <c r="OAI28"/>
      <c r="OAJ28"/>
      <c r="OAK28"/>
      <c r="OAL28"/>
      <c r="OAM28"/>
      <c r="OAN28"/>
      <c r="OAO28"/>
      <c r="OAP28"/>
      <c r="OAQ28"/>
      <c r="OAR28"/>
      <c r="OAS28"/>
      <c r="OAT28"/>
      <c r="OAU28"/>
      <c r="OAV28"/>
      <c r="OAW28"/>
      <c r="OAX28"/>
      <c r="OAY28"/>
      <c r="OAZ28"/>
      <c r="OBA28"/>
      <c r="OBB28"/>
      <c r="OBC28"/>
      <c r="OBD28"/>
      <c r="OBE28"/>
      <c r="OBF28"/>
      <c r="OBG28"/>
      <c r="OBH28"/>
      <c r="OBI28"/>
      <c r="OBJ28"/>
      <c r="OBK28"/>
      <c r="OBL28"/>
      <c r="OBM28"/>
      <c r="OBN28"/>
      <c r="OBO28"/>
      <c r="OBP28"/>
      <c r="OBQ28"/>
      <c r="OBR28"/>
      <c r="OBS28"/>
      <c r="OBT28"/>
      <c r="OBU28"/>
      <c r="OBV28"/>
      <c r="OBW28"/>
      <c r="OBX28"/>
      <c r="OBY28"/>
      <c r="OBZ28"/>
      <c r="OCA28"/>
      <c r="OCB28"/>
      <c r="OCC28"/>
      <c r="OCD28"/>
      <c r="OCE28"/>
      <c r="OCF28"/>
      <c r="OCG28"/>
      <c r="OCH28"/>
      <c r="OCI28"/>
      <c r="OCJ28"/>
      <c r="OCK28"/>
      <c r="OCL28"/>
      <c r="OCM28"/>
      <c r="OCN28"/>
      <c r="OCO28"/>
      <c r="OCP28"/>
      <c r="OCQ28"/>
      <c r="OCR28"/>
      <c r="OCS28"/>
      <c r="OCT28"/>
      <c r="OCU28"/>
      <c r="OCV28"/>
      <c r="OCW28"/>
      <c r="OCX28"/>
      <c r="OCY28"/>
      <c r="OCZ28"/>
      <c r="ODA28"/>
      <c r="ODB28"/>
      <c r="ODC28"/>
      <c r="ODD28"/>
      <c r="ODE28"/>
      <c r="ODF28"/>
      <c r="ODG28"/>
      <c r="ODH28"/>
      <c r="ODI28"/>
      <c r="ODJ28"/>
      <c r="ODK28"/>
      <c r="ODL28"/>
      <c r="ODM28"/>
      <c r="ODN28"/>
      <c r="ODO28"/>
      <c r="ODP28"/>
      <c r="ODQ28"/>
      <c r="ODR28"/>
      <c r="ODS28"/>
      <c r="ODT28"/>
      <c r="ODU28"/>
      <c r="ODV28"/>
      <c r="ODW28"/>
      <c r="ODX28"/>
      <c r="ODY28"/>
      <c r="ODZ28"/>
      <c r="OEA28"/>
      <c r="OEB28"/>
      <c r="OEC28"/>
      <c r="OED28"/>
      <c r="OEE28"/>
      <c r="OEF28"/>
      <c r="OEG28"/>
      <c r="OEH28"/>
      <c r="OEI28"/>
      <c r="OEJ28"/>
      <c r="OEK28"/>
      <c r="OEL28"/>
      <c r="OEM28"/>
      <c r="OEN28"/>
      <c r="OEO28"/>
      <c r="OEP28"/>
      <c r="OEQ28"/>
      <c r="OER28"/>
      <c r="OES28"/>
      <c r="OET28"/>
      <c r="OEU28"/>
      <c r="OEV28"/>
      <c r="OEW28"/>
      <c r="OEX28"/>
      <c r="OEY28"/>
      <c r="OEZ28"/>
      <c r="OFA28"/>
      <c r="OFB28"/>
      <c r="OFC28"/>
      <c r="OFD28"/>
      <c r="OFE28"/>
      <c r="OFF28"/>
      <c r="OFG28"/>
      <c r="OFH28"/>
      <c r="OFI28"/>
      <c r="OFJ28"/>
      <c r="OFK28"/>
      <c r="OFL28"/>
      <c r="OFM28"/>
      <c r="OFN28"/>
      <c r="OFO28"/>
      <c r="OFP28"/>
      <c r="OFQ28"/>
      <c r="OFR28"/>
      <c r="OFS28"/>
      <c r="OFT28"/>
      <c r="OFU28"/>
      <c r="OFV28"/>
      <c r="OFW28"/>
      <c r="OFX28"/>
      <c r="OFY28"/>
      <c r="OFZ28"/>
      <c r="OGA28"/>
      <c r="OGB28"/>
      <c r="OGC28"/>
      <c r="OGD28"/>
      <c r="OGE28"/>
      <c r="OGF28"/>
      <c r="OGG28"/>
      <c r="OGH28"/>
      <c r="OGI28"/>
      <c r="OGJ28"/>
      <c r="OGK28"/>
      <c r="OGL28"/>
      <c r="OGM28"/>
      <c r="OGN28"/>
      <c r="OGO28"/>
      <c r="OGP28"/>
      <c r="OGQ28"/>
      <c r="OGR28"/>
      <c r="OGS28"/>
      <c r="OGT28"/>
      <c r="OGU28"/>
      <c r="OGV28"/>
      <c r="OGW28"/>
      <c r="OGX28"/>
      <c r="OGY28"/>
      <c r="OGZ28"/>
      <c r="OHA28"/>
      <c r="OHB28"/>
      <c r="OHC28"/>
      <c r="OHD28"/>
      <c r="OHE28"/>
      <c r="OHF28"/>
      <c r="OHG28"/>
      <c r="OHH28"/>
      <c r="OHI28"/>
      <c r="OHJ28"/>
      <c r="OHK28"/>
      <c r="OHL28"/>
      <c r="OHM28"/>
      <c r="OHN28"/>
      <c r="OHO28"/>
      <c r="OHP28"/>
      <c r="OHQ28"/>
      <c r="OHR28"/>
      <c r="OHS28"/>
      <c r="OHT28"/>
      <c r="OHU28"/>
      <c r="OHV28"/>
      <c r="OHW28"/>
      <c r="OHX28"/>
      <c r="OHY28"/>
      <c r="OHZ28"/>
      <c r="OIA28"/>
      <c r="OIB28"/>
      <c r="OIC28"/>
      <c r="OID28"/>
      <c r="OIE28"/>
      <c r="OIF28"/>
      <c r="OIG28"/>
      <c r="OIH28"/>
      <c r="OII28"/>
      <c r="OIJ28"/>
      <c r="OIK28"/>
      <c r="OIL28"/>
      <c r="OIM28"/>
      <c r="OIN28"/>
      <c r="OIO28"/>
      <c r="OIP28"/>
      <c r="OIQ28"/>
      <c r="OIR28"/>
      <c r="OIS28"/>
      <c r="OIT28"/>
      <c r="OIU28"/>
      <c r="OIV28"/>
      <c r="OIW28"/>
      <c r="OIX28"/>
      <c r="OIY28"/>
      <c r="OIZ28"/>
      <c r="OJA28"/>
      <c r="OJB28"/>
      <c r="OJC28"/>
      <c r="OJD28"/>
      <c r="OJE28"/>
      <c r="OJF28"/>
      <c r="OJG28"/>
      <c r="OJH28"/>
      <c r="OJI28"/>
      <c r="OJJ28"/>
      <c r="OJK28"/>
      <c r="OJL28"/>
      <c r="OJM28"/>
      <c r="OJN28"/>
      <c r="OJO28"/>
      <c r="OJP28"/>
      <c r="OJQ28"/>
      <c r="OJR28"/>
      <c r="OJS28"/>
      <c r="OJT28"/>
      <c r="OJU28"/>
      <c r="OJV28"/>
      <c r="OJW28"/>
      <c r="OJX28"/>
      <c r="OJY28"/>
      <c r="OJZ28"/>
      <c r="OKA28"/>
      <c r="OKB28"/>
      <c r="OKC28"/>
      <c r="OKD28"/>
      <c r="OKE28"/>
      <c r="OKF28"/>
      <c r="OKG28"/>
      <c r="OKH28"/>
      <c r="OKI28"/>
      <c r="OKJ28"/>
      <c r="OKK28"/>
      <c r="OKL28"/>
      <c r="OKM28"/>
      <c r="OKN28"/>
      <c r="OKO28"/>
      <c r="OKP28"/>
      <c r="OKQ28"/>
      <c r="OKR28"/>
      <c r="OKS28"/>
      <c r="OKT28"/>
      <c r="OKU28"/>
      <c r="OKV28"/>
      <c r="OKW28"/>
      <c r="OKX28"/>
      <c r="OKY28"/>
      <c r="OKZ28"/>
      <c r="OLA28"/>
      <c r="OLB28"/>
      <c r="OLC28"/>
      <c r="OLD28"/>
      <c r="OLE28"/>
      <c r="OLF28"/>
      <c r="OLG28"/>
      <c r="OLH28"/>
      <c r="OLI28"/>
      <c r="OLJ28"/>
      <c r="OLK28"/>
      <c r="OLL28"/>
      <c r="OLM28"/>
      <c r="OLN28"/>
      <c r="OLO28"/>
      <c r="OLP28"/>
      <c r="OLQ28"/>
      <c r="OLR28"/>
      <c r="OLS28"/>
      <c r="OLT28"/>
      <c r="OLU28"/>
      <c r="OLV28"/>
      <c r="OLW28"/>
      <c r="OLX28"/>
      <c r="OLY28"/>
      <c r="OLZ28"/>
      <c r="OMA28"/>
      <c r="OMB28"/>
      <c r="OMC28"/>
      <c r="OMD28"/>
      <c r="OME28"/>
      <c r="OMF28"/>
      <c r="OMG28"/>
      <c r="OMH28"/>
      <c r="OMI28"/>
      <c r="OMJ28"/>
      <c r="OMK28"/>
      <c r="OML28"/>
      <c r="OMM28"/>
      <c r="OMN28"/>
      <c r="OMO28"/>
      <c r="OMP28"/>
      <c r="OMQ28"/>
      <c r="OMR28"/>
      <c r="OMS28"/>
      <c r="OMT28"/>
      <c r="OMU28"/>
      <c r="OMV28"/>
      <c r="OMW28"/>
      <c r="OMX28"/>
      <c r="OMY28"/>
      <c r="OMZ28"/>
      <c r="ONA28"/>
      <c r="ONB28"/>
      <c r="ONC28"/>
      <c r="OND28"/>
      <c r="ONE28"/>
      <c r="ONF28"/>
      <c r="ONG28"/>
      <c r="ONH28"/>
      <c r="ONI28"/>
      <c r="ONJ28"/>
      <c r="ONK28"/>
      <c r="ONL28"/>
      <c r="ONM28"/>
      <c r="ONN28"/>
      <c r="ONO28"/>
      <c r="ONP28"/>
      <c r="ONQ28"/>
      <c r="ONR28"/>
      <c r="ONS28"/>
      <c r="ONT28"/>
      <c r="ONU28"/>
      <c r="ONV28"/>
      <c r="ONW28"/>
      <c r="ONX28"/>
      <c r="ONY28"/>
      <c r="ONZ28"/>
      <c r="OOA28"/>
      <c r="OOB28"/>
      <c r="OOC28"/>
      <c r="OOD28"/>
      <c r="OOE28"/>
      <c r="OOF28"/>
      <c r="OOG28"/>
      <c r="OOH28"/>
      <c r="OOI28"/>
      <c r="OOJ28"/>
      <c r="OOK28"/>
      <c r="OOL28"/>
      <c r="OOM28"/>
      <c r="OON28"/>
      <c r="OOO28"/>
      <c r="OOP28"/>
      <c r="OOQ28"/>
      <c r="OOR28"/>
      <c r="OOS28"/>
      <c r="OOT28"/>
      <c r="OOU28"/>
      <c r="OOV28"/>
      <c r="OOW28"/>
      <c r="OOX28"/>
      <c r="OOY28"/>
      <c r="OOZ28"/>
      <c r="OPA28"/>
      <c r="OPB28"/>
      <c r="OPC28"/>
      <c r="OPD28"/>
      <c r="OPE28"/>
      <c r="OPF28"/>
      <c r="OPG28"/>
      <c r="OPH28"/>
      <c r="OPI28"/>
      <c r="OPJ28"/>
      <c r="OPK28"/>
      <c r="OPL28"/>
      <c r="OPM28"/>
      <c r="OPN28"/>
      <c r="OPO28"/>
      <c r="OPP28"/>
      <c r="OPQ28"/>
      <c r="OPR28"/>
      <c r="OPS28"/>
      <c r="OPT28"/>
      <c r="OPU28"/>
      <c r="OPV28"/>
      <c r="OPW28"/>
      <c r="OPX28"/>
      <c r="OPY28"/>
      <c r="OPZ28"/>
      <c r="OQA28"/>
      <c r="OQB28"/>
      <c r="OQC28"/>
      <c r="OQD28"/>
      <c r="OQE28"/>
      <c r="OQF28"/>
      <c r="OQG28"/>
      <c r="OQH28"/>
      <c r="OQI28"/>
      <c r="OQJ28"/>
      <c r="OQK28"/>
      <c r="OQL28"/>
      <c r="OQM28"/>
      <c r="OQN28"/>
      <c r="OQO28"/>
      <c r="OQP28"/>
      <c r="OQQ28"/>
      <c r="OQR28"/>
      <c r="OQS28"/>
      <c r="OQT28"/>
      <c r="OQU28"/>
      <c r="OQV28"/>
      <c r="OQW28"/>
      <c r="OQX28"/>
      <c r="OQY28"/>
      <c r="OQZ28"/>
      <c r="ORA28"/>
      <c r="ORB28"/>
      <c r="ORC28"/>
      <c r="ORD28"/>
      <c r="ORE28"/>
      <c r="ORF28"/>
      <c r="ORG28"/>
      <c r="ORH28"/>
      <c r="ORI28"/>
      <c r="ORJ28"/>
      <c r="ORK28"/>
      <c r="ORL28"/>
      <c r="ORM28"/>
      <c r="ORN28"/>
      <c r="ORO28"/>
      <c r="ORP28"/>
      <c r="ORQ28"/>
      <c r="ORR28"/>
      <c r="ORS28"/>
      <c r="ORT28"/>
      <c r="ORU28"/>
      <c r="ORV28"/>
      <c r="ORW28"/>
      <c r="ORX28"/>
      <c r="ORY28"/>
      <c r="ORZ28"/>
      <c r="OSA28"/>
      <c r="OSB28"/>
      <c r="OSC28"/>
      <c r="OSD28"/>
      <c r="OSE28"/>
      <c r="OSF28"/>
      <c r="OSG28"/>
      <c r="OSH28"/>
      <c r="OSI28"/>
      <c r="OSJ28"/>
      <c r="OSK28"/>
      <c r="OSL28"/>
      <c r="OSM28"/>
      <c r="OSN28"/>
      <c r="OSO28"/>
      <c r="OSP28"/>
      <c r="OSQ28"/>
      <c r="OSR28"/>
      <c r="OSS28"/>
      <c r="OST28"/>
      <c r="OSU28"/>
      <c r="OSV28"/>
      <c r="OSW28"/>
      <c r="OSX28"/>
      <c r="OSY28"/>
      <c r="OSZ28"/>
      <c r="OTA28"/>
      <c r="OTB28"/>
      <c r="OTC28"/>
      <c r="OTD28"/>
      <c r="OTE28"/>
      <c r="OTF28"/>
      <c r="OTG28"/>
      <c r="OTH28"/>
      <c r="OTI28"/>
      <c r="OTJ28"/>
      <c r="OTK28"/>
      <c r="OTL28"/>
      <c r="OTM28"/>
      <c r="OTN28"/>
      <c r="OTO28"/>
      <c r="OTP28"/>
      <c r="OTQ28"/>
      <c r="OTR28"/>
      <c r="OTS28"/>
      <c r="OTT28"/>
      <c r="OTU28"/>
      <c r="OTV28"/>
      <c r="OTW28"/>
      <c r="OTX28"/>
      <c r="OTY28"/>
      <c r="OTZ28"/>
      <c r="OUA28"/>
      <c r="OUB28"/>
      <c r="OUC28"/>
      <c r="OUD28"/>
      <c r="OUE28"/>
      <c r="OUF28"/>
      <c r="OUG28"/>
      <c r="OUH28"/>
      <c r="OUI28"/>
      <c r="OUJ28"/>
      <c r="OUK28"/>
      <c r="OUL28"/>
      <c r="OUM28"/>
      <c r="OUN28"/>
      <c r="OUO28"/>
      <c r="OUP28"/>
      <c r="OUQ28"/>
      <c r="OUR28"/>
      <c r="OUS28"/>
      <c r="OUT28"/>
      <c r="OUU28"/>
      <c r="OUV28"/>
      <c r="OUW28"/>
      <c r="OUX28"/>
      <c r="OUY28"/>
      <c r="OUZ28"/>
      <c r="OVA28"/>
      <c r="OVB28"/>
      <c r="OVC28"/>
      <c r="OVD28"/>
      <c r="OVE28"/>
      <c r="OVF28"/>
      <c r="OVG28"/>
      <c r="OVH28"/>
      <c r="OVI28"/>
      <c r="OVJ28"/>
      <c r="OVK28"/>
      <c r="OVL28"/>
      <c r="OVM28"/>
      <c r="OVN28"/>
      <c r="OVO28"/>
      <c r="OVP28"/>
      <c r="OVQ28"/>
      <c r="OVR28"/>
      <c r="OVS28"/>
      <c r="OVT28"/>
      <c r="OVU28"/>
      <c r="OVV28"/>
      <c r="OVW28"/>
      <c r="OVX28"/>
      <c r="OVY28"/>
      <c r="OVZ28"/>
      <c r="OWA28"/>
      <c r="OWB28"/>
      <c r="OWC28"/>
      <c r="OWD28"/>
      <c r="OWE28"/>
      <c r="OWF28"/>
      <c r="OWG28"/>
      <c r="OWH28"/>
      <c r="OWI28"/>
      <c r="OWJ28"/>
      <c r="OWK28"/>
      <c r="OWL28"/>
      <c r="OWM28"/>
      <c r="OWN28"/>
      <c r="OWO28"/>
      <c r="OWP28"/>
      <c r="OWQ28"/>
      <c r="OWR28"/>
      <c r="OWS28"/>
      <c r="OWT28"/>
      <c r="OWU28"/>
      <c r="OWV28"/>
      <c r="OWW28"/>
      <c r="OWX28"/>
      <c r="OWY28"/>
      <c r="OWZ28"/>
      <c r="OXA28"/>
      <c r="OXB28"/>
      <c r="OXC28"/>
      <c r="OXD28"/>
      <c r="OXE28"/>
      <c r="OXF28"/>
      <c r="OXG28"/>
      <c r="OXH28"/>
      <c r="OXI28"/>
      <c r="OXJ28"/>
      <c r="OXK28"/>
      <c r="OXL28"/>
      <c r="OXM28"/>
      <c r="OXN28"/>
      <c r="OXO28"/>
      <c r="OXP28"/>
      <c r="OXQ28"/>
      <c r="OXR28"/>
      <c r="OXS28"/>
      <c r="OXT28"/>
      <c r="OXU28"/>
      <c r="OXV28"/>
      <c r="OXW28"/>
      <c r="OXX28"/>
      <c r="OXY28"/>
      <c r="OXZ28"/>
      <c r="OYA28"/>
      <c r="OYB28"/>
      <c r="OYC28"/>
      <c r="OYD28"/>
      <c r="OYE28"/>
      <c r="OYF28"/>
      <c r="OYG28"/>
      <c r="OYH28"/>
      <c r="OYI28"/>
      <c r="OYJ28"/>
      <c r="OYK28"/>
      <c r="OYL28"/>
      <c r="OYM28"/>
      <c r="OYN28"/>
      <c r="OYO28"/>
      <c r="OYP28"/>
      <c r="OYQ28"/>
      <c r="OYR28"/>
      <c r="OYS28"/>
      <c r="OYT28"/>
      <c r="OYU28"/>
      <c r="OYV28"/>
      <c r="OYW28"/>
      <c r="OYX28"/>
      <c r="OYY28"/>
      <c r="OYZ28"/>
      <c r="OZA28"/>
      <c r="OZB28"/>
      <c r="OZC28"/>
      <c r="OZD28"/>
      <c r="OZE28"/>
      <c r="OZF28"/>
      <c r="OZG28"/>
      <c r="OZH28"/>
      <c r="OZI28"/>
      <c r="OZJ28"/>
      <c r="OZK28"/>
      <c r="OZL28"/>
      <c r="OZM28"/>
      <c r="OZN28"/>
      <c r="OZO28"/>
      <c r="OZP28"/>
      <c r="OZQ28"/>
      <c r="OZR28"/>
      <c r="OZS28"/>
      <c r="OZT28"/>
      <c r="OZU28"/>
      <c r="OZV28"/>
      <c r="OZW28"/>
      <c r="OZX28"/>
      <c r="OZY28"/>
      <c r="OZZ28"/>
      <c r="PAA28"/>
      <c r="PAB28"/>
      <c r="PAC28"/>
      <c r="PAD28"/>
      <c r="PAE28"/>
      <c r="PAF28"/>
      <c r="PAG28"/>
      <c r="PAH28"/>
      <c r="PAI28"/>
      <c r="PAJ28"/>
      <c r="PAK28"/>
      <c r="PAL28"/>
      <c r="PAM28"/>
      <c r="PAN28"/>
      <c r="PAO28"/>
      <c r="PAP28"/>
      <c r="PAQ28"/>
      <c r="PAR28"/>
      <c r="PAS28"/>
      <c r="PAT28"/>
      <c r="PAU28"/>
      <c r="PAV28"/>
      <c r="PAW28"/>
      <c r="PAX28"/>
      <c r="PAY28"/>
      <c r="PAZ28"/>
      <c r="PBA28"/>
      <c r="PBB28"/>
      <c r="PBC28"/>
      <c r="PBD28"/>
      <c r="PBE28"/>
      <c r="PBF28"/>
      <c r="PBG28"/>
      <c r="PBH28"/>
      <c r="PBI28"/>
      <c r="PBJ28"/>
      <c r="PBK28"/>
      <c r="PBL28"/>
      <c r="PBM28"/>
      <c r="PBN28"/>
      <c r="PBO28"/>
      <c r="PBP28"/>
      <c r="PBQ28"/>
      <c r="PBR28"/>
      <c r="PBS28"/>
      <c r="PBT28"/>
      <c r="PBU28"/>
      <c r="PBV28"/>
      <c r="PBW28"/>
      <c r="PBX28"/>
      <c r="PBY28"/>
      <c r="PBZ28"/>
      <c r="PCA28"/>
      <c r="PCB28"/>
      <c r="PCC28"/>
      <c r="PCD28"/>
      <c r="PCE28"/>
      <c r="PCF28"/>
      <c r="PCG28"/>
      <c r="PCH28"/>
      <c r="PCI28"/>
      <c r="PCJ28"/>
      <c r="PCK28"/>
      <c r="PCL28"/>
      <c r="PCM28"/>
      <c r="PCN28"/>
      <c r="PCO28"/>
      <c r="PCP28"/>
      <c r="PCQ28"/>
      <c r="PCR28"/>
      <c r="PCS28"/>
      <c r="PCT28"/>
      <c r="PCU28"/>
      <c r="PCV28"/>
      <c r="PCW28"/>
      <c r="PCX28"/>
      <c r="PCY28"/>
      <c r="PCZ28"/>
      <c r="PDA28"/>
      <c r="PDB28"/>
      <c r="PDC28"/>
      <c r="PDD28"/>
      <c r="PDE28"/>
      <c r="PDF28"/>
      <c r="PDG28"/>
      <c r="PDH28"/>
      <c r="PDI28"/>
      <c r="PDJ28"/>
      <c r="PDK28"/>
      <c r="PDL28"/>
      <c r="PDM28"/>
      <c r="PDN28"/>
      <c r="PDO28"/>
      <c r="PDP28"/>
      <c r="PDQ28"/>
      <c r="PDR28"/>
      <c r="PDS28"/>
      <c r="PDT28"/>
      <c r="PDU28"/>
      <c r="PDV28"/>
      <c r="PDW28"/>
      <c r="PDX28"/>
      <c r="PDY28"/>
      <c r="PDZ28"/>
      <c r="PEA28"/>
      <c r="PEB28"/>
      <c r="PEC28"/>
      <c r="PED28"/>
      <c r="PEE28"/>
      <c r="PEF28"/>
      <c r="PEG28"/>
      <c r="PEH28"/>
      <c r="PEI28"/>
      <c r="PEJ28"/>
      <c r="PEK28"/>
      <c r="PEL28"/>
      <c r="PEM28"/>
      <c r="PEN28"/>
      <c r="PEO28"/>
      <c r="PEP28"/>
      <c r="PEQ28"/>
      <c r="PER28"/>
      <c r="PES28"/>
      <c r="PET28"/>
      <c r="PEU28"/>
      <c r="PEV28"/>
      <c r="PEW28"/>
      <c r="PEX28"/>
      <c r="PEY28"/>
      <c r="PEZ28"/>
      <c r="PFA28"/>
      <c r="PFB28"/>
      <c r="PFC28"/>
      <c r="PFD28"/>
      <c r="PFE28"/>
      <c r="PFF28"/>
      <c r="PFG28"/>
      <c r="PFH28"/>
      <c r="PFI28"/>
      <c r="PFJ28"/>
      <c r="PFK28"/>
      <c r="PFL28"/>
      <c r="PFM28"/>
      <c r="PFN28"/>
      <c r="PFO28"/>
      <c r="PFP28"/>
      <c r="PFQ28"/>
      <c r="PFR28"/>
      <c r="PFS28"/>
      <c r="PFT28"/>
      <c r="PFU28"/>
      <c r="PFV28"/>
      <c r="PFW28"/>
      <c r="PFX28"/>
      <c r="PFY28"/>
      <c r="PFZ28"/>
      <c r="PGA28"/>
      <c r="PGB28"/>
      <c r="PGC28"/>
      <c r="PGD28"/>
      <c r="PGE28"/>
      <c r="PGF28"/>
      <c r="PGG28"/>
      <c r="PGH28"/>
      <c r="PGI28"/>
      <c r="PGJ28"/>
      <c r="PGK28"/>
      <c r="PGL28"/>
      <c r="PGM28"/>
      <c r="PGN28"/>
      <c r="PGO28"/>
      <c r="PGP28"/>
      <c r="PGQ28"/>
      <c r="PGR28"/>
      <c r="PGS28"/>
      <c r="PGT28"/>
      <c r="PGU28"/>
      <c r="PGV28"/>
      <c r="PGW28"/>
      <c r="PGX28"/>
      <c r="PGY28"/>
      <c r="PGZ28"/>
      <c r="PHA28"/>
      <c r="PHB28"/>
      <c r="PHC28"/>
      <c r="PHD28"/>
      <c r="PHE28"/>
      <c r="PHF28"/>
      <c r="PHG28"/>
      <c r="PHH28"/>
      <c r="PHI28"/>
      <c r="PHJ28"/>
      <c r="PHK28"/>
      <c r="PHL28"/>
      <c r="PHM28"/>
      <c r="PHN28"/>
      <c r="PHO28"/>
      <c r="PHP28"/>
      <c r="PHQ28"/>
      <c r="PHR28"/>
      <c r="PHS28"/>
      <c r="PHT28"/>
      <c r="PHU28"/>
      <c r="PHV28"/>
      <c r="PHW28"/>
      <c r="PHX28"/>
      <c r="PHY28"/>
      <c r="PHZ28"/>
      <c r="PIA28"/>
      <c r="PIB28"/>
      <c r="PIC28"/>
      <c r="PID28"/>
      <c r="PIE28"/>
      <c r="PIF28"/>
      <c r="PIG28"/>
      <c r="PIH28"/>
      <c r="PII28"/>
      <c r="PIJ28"/>
      <c r="PIK28"/>
      <c r="PIL28"/>
      <c r="PIM28"/>
      <c r="PIN28"/>
      <c r="PIO28"/>
      <c r="PIP28"/>
      <c r="PIQ28"/>
      <c r="PIR28"/>
      <c r="PIS28"/>
      <c r="PIT28"/>
      <c r="PIU28"/>
      <c r="PIV28"/>
      <c r="PIW28"/>
      <c r="PIX28"/>
      <c r="PIY28"/>
      <c r="PIZ28"/>
      <c r="PJA28"/>
      <c r="PJB28"/>
      <c r="PJC28"/>
      <c r="PJD28"/>
      <c r="PJE28"/>
      <c r="PJF28"/>
      <c r="PJG28"/>
      <c r="PJH28"/>
      <c r="PJI28"/>
      <c r="PJJ28"/>
      <c r="PJK28"/>
      <c r="PJL28"/>
      <c r="PJM28"/>
      <c r="PJN28"/>
      <c r="PJO28"/>
      <c r="PJP28"/>
      <c r="PJQ28"/>
      <c r="PJR28"/>
      <c r="PJS28"/>
      <c r="PJT28"/>
      <c r="PJU28"/>
      <c r="PJV28"/>
      <c r="PJW28"/>
      <c r="PJX28"/>
      <c r="PJY28"/>
      <c r="PJZ28"/>
      <c r="PKA28"/>
      <c r="PKB28"/>
      <c r="PKC28"/>
      <c r="PKD28"/>
      <c r="PKE28"/>
      <c r="PKF28"/>
      <c r="PKG28"/>
      <c r="PKH28"/>
      <c r="PKI28"/>
      <c r="PKJ28"/>
      <c r="PKK28"/>
      <c r="PKL28"/>
      <c r="PKM28"/>
      <c r="PKN28"/>
      <c r="PKO28"/>
      <c r="PKP28"/>
      <c r="PKQ28"/>
      <c r="PKR28"/>
      <c r="PKS28"/>
      <c r="PKT28"/>
      <c r="PKU28"/>
      <c r="PKV28"/>
      <c r="PKW28"/>
      <c r="PKX28"/>
      <c r="PKY28"/>
      <c r="PKZ28"/>
      <c r="PLA28"/>
      <c r="PLB28"/>
      <c r="PLC28"/>
      <c r="PLD28"/>
      <c r="PLE28"/>
      <c r="PLF28"/>
      <c r="PLG28"/>
      <c r="PLH28"/>
      <c r="PLI28"/>
      <c r="PLJ28"/>
      <c r="PLK28"/>
      <c r="PLL28"/>
      <c r="PLM28"/>
      <c r="PLN28"/>
      <c r="PLO28"/>
      <c r="PLP28"/>
      <c r="PLQ28"/>
      <c r="PLR28"/>
      <c r="PLS28"/>
      <c r="PLT28"/>
      <c r="PLU28"/>
      <c r="PLV28"/>
      <c r="PLW28"/>
      <c r="PLX28"/>
      <c r="PLY28"/>
      <c r="PLZ28"/>
      <c r="PMA28"/>
      <c r="PMB28"/>
      <c r="PMC28"/>
      <c r="PMD28"/>
      <c r="PME28"/>
      <c r="PMF28"/>
      <c r="PMG28"/>
      <c r="PMH28"/>
      <c r="PMI28"/>
      <c r="PMJ28"/>
      <c r="PMK28"/>
      <c r="PML28"/>
      <c r="PMM28"/>
      <c r="PMN28"/>
      <c r="PMO28"/>
      <c r="PMP28"/>
      <c r="PMQ28"/>
      <c r="PMR28"/>
      <c r="PMS28"/>
      <c r="PMT28"/>
      <c r="PMU28"/>
      <c r="PMV28"/>
      <c r="PMW28"/>
      <c r="PMX28"/>
      <c r="PMY28"/>
      <c r="PMZ28"/>
      <c r="PNA28"/>
      <c r="PNB28"/>
      <c r="PNC28"/>
      <c r="PND28"/>
      <c r="PNE28"/>
      <c r="PNF28"/>
      <c r="PNG28"/>
      <c r="PNH28"/>
      <c r="PNI28"/>
      <c r="PNJ28"/>
      <c r="PNK28"/>
      <c r="PNL28"/>
      <c r="PNM28"/>
      <c r="PNN28"/>
      <c r="PNO28"/>
      <c r="PNP28"/>
      <c r="PNQ28"/>
      <c r="PNR28"/>
      <c r="PNS28"/>
      <c r="PNT28"/>
      <c r="PNU28"/>
      <c r="PNV28"/>
      <c r="PNW28"/>
      <c r="PNX28"/>
      <c r="PNY28"/>
      <c r="PNZ28"/>
      <c r="POA28"/>
      <c r="POB28"/>
      <c r="POC28"/>
      <c r="POD28"/>
      <c r="POE28"/>
      <c r="POF28"/>
      <c r="POG28"/>
      <c r="POH28"/>
      <c r="POI28"/>
      <c r="POJ28"/>
      <c r="POK28"/>
      <c r="POL28"/>
      <c r="POM28"/>
      <c r="PON28"/>
      <c r="POO28"/>
      <c r="POP28"/>
      <c r="POQ28"/>
      <c r="POR28"/>
      <c r="POS28"/>
      <c r="POT28"/>
      <c r="POU28"/>
      <c r="POV28"/>
      <c r="POW28"/>
      <c r="POX28"/>
      <c r="POY28"/>
      <c r="POZ28"/>
      <c r="PPA28"/>
      <c r="PPB28"/>
      <c r="PPC28"/>
      <c r="PPD28"/>
      <c r="PPE28"/>
      <c r="PPF28"/>
      <c r="PPG28"/>
      <c r="PPH28"/>
      <c r="PPI28"/>
      <c r="PPJ28"/>
      <c r="PPK28"/>
      <c r="PPL28"/>
      <c r="PPM28"/>
      <c r="PPN28"/>
      <c r="PPO28"/>
      <c r="PPP28"/>
      <c r="PPQ28"/>
      <c r="PPR28"/>
      <c r="PPS28"/>
      <c r="PPT28"/>
      <c r="PPU28"/>
      <c r="PPV28"/>
      <c r="PPW28"/>
      <c r="PPX28"/>
      <c r="PPY28"/>
      <c r="PPZ28"/>
      <c r="PQA28"/>
      <c r="PQB28"/>
      <c r="PQC28"/>
      <c r="PQD28"/>
      <c r="PQE28"/>
      <c r="PQF28"/>
      <c r="PQG28"/>
      <c r="PQH28"/>
      <c r="PQI28"/>
      <c r="PQJ28"/>
      <c r="PQK28"/>
      <c r="PQL28"/>
      <c r="PQM28"/>
      <c r="PQN28"/>
      <c r="PQO28"/>
      <c r="PQP28"/>
      <c r="PQQ28"/>
      <c r="PQR28"/>
      <c r="PQS28"/>
      <c r="PQT28"/>
      <c r="PQU28"/>
      <c r="PQV28"/>
      <c r="PQW28"/>
      <c r="PQX28"/>
      <c r="PQY28"/>
      <c r="PQZ28"/>
      <c r="PRA28"/>
      <c r="PRB28"/>
      <c r="PRC28"/>
      <c r="PRD28"/>
      <c r="PRE28"/>
      <c r="PRF28"/>
      <c r="PRG28"/>
      <c r="PRH28"/>
      <c r="PRI28"/>
      <c r="PRJ28"/>
      <c r="PRK28"/>
      <c r="PRL28"/>
      <c r="PRM28"/>
      <c r="PRN28"/>
      <c r="PRO28"/>
      <c r="PRP28"/>
      <c r="PRQ28"/>
      <c r="PRR28"/>
      <c r="PRS28"/>
      <c r="PRT28"/>
      <c r="PRU28"/>
      <c r="PRV28"/>
      <c r="PRW28"/>
      <c r="PRX28"/>
      <c r="PRY28"/>
      <c r="PRZ28"/>
      <c r="PSA28"/>
      <c r="PSB28"/>
      <c r="PSC28"/>
      <c r="PSD28"/>
      <c r="PSE28"/>
      <c r="PSF28"/>
      <c r="PSG28"/>
      <c r="PSH28"/>
      <c r="PSI28"/>
      <c r="PSJ28"/>
      <c r="PSK28"/>
      <c r="PSL28"/>
      <c r="PSM28"/>
      <c r="PSN28"/>
      <c r="PSO28"/>
      <c r="PSP28"/>
      <c r="PSQ28"/>
      <c r="PSR28"/>
      <c r="PSS28"/>
      <c r="PST28"/>
      <c r="PSU28"/>
      <c r="PSV28"/>
      <c r="PSW28"/>
      <c r="PSX28"/>
      <c r="PSY28"/>
      <c r="PSZ28"/>
      <c r="PTA28"/>
      <c r="PTB28"/>
      <c r="PTC28"/>
      <c r="PTD28"/>
      <c r="PTE28"/>
      <c r="PTF28"/>
      <c r="PTG28"/>
      <c r="PTH28"/>
      <c r="PTI28"/>
      <c r="PTJ28"/>
      <c r="PTK28"/>
      <c r="PTL28"/>
      <c r="PTM28"/>
      <c r="PTN28"/>
      <c r="PTO28"/>
      <c r="PTP28"/>
      <c r="PTQ28"/>
      <c r="PTR28"/>
      <c r="PTS28"/>
      <c r="PTT28"/>
      <c r="PTU28"/>
      <c r="PTV28"/>
      <c r="PTW28"/>
      <c r="PTX28"/>
      <c r="PTY28"/>
      <c r="PTZ28"/>
      <c r="PUA28"/>
      <c r="PUB28"/>
      <c r="PUC28"/>
      <c r="PUD28"/>
      <c r="PUE28"/>
      <c r="PUF28"/>
      <c r="PUG28"/>
      <c r="PUH28"/>
      <c r="PUI28"/>
      <c r="PUJ28"/>
      <c r="PUK28"/>
      <c r="PUL28"/>
      <c r="PUM28"/>
      <c r="PUN28"/>
      <c r="PUO28"/>
      <c r="PUP28"/>
      <c r="PUQ28"/>
      <c r="PUR28"/>
      <c r="PUS28"/>
      <c r="PUT28"/>
      <c r="PUU28"/>
      <c r="PUV28"/>
      <c r="PUW28"/>
      <c r="PUX28"/>
      <c r="PUY28"/>
      <c r="PUZ28"/>
      <c r="PVA28"/>
      <c r="PVB28"/>
      <c r="PVC28"/>
      <c r="PVD28"/>
      <c r="PVE28"/>
      <c r="PVF28"/>
      <c r="PVG28"/>
      <c r="PVH28"/>
      <c r="PVI28"/>
      <c r="PVJ28"/>
      <c r="PVK28"/>
      <c r="PVL28"/>
      <c r="PVM28"/>
      <c r="PVN28"/>
      <c r="PVO28"/>
      <c r="PVP28"/>
      <c r="PVQ28"/>
      <c r="PVR28"/>
      <c r="PVS28"/>
      <c r="PVT28"/>
      <c r="PVU28"/>
      <c r="PVV28"/>
      <c r="PVW28"/>
      <c r="PVX28"/>
      <c r="PVY28"/>
      <c r="PVZ28"/>
      <c r="PWA28"/>
      <c r="PWB28"/>
      <c r="PWC28"/>
      <c r="PWD28"/>
      <c r="PWE28"/>
      <c r="PWF28"/>
      <c r="PWG28"/>
      <c r="PWH28"/>
      <c r="PWI28"/>
      <c r="PWJ28"/>
      <c r="PWK28"/>
      <c r="PWL28"/>
      <c r="PWM28"/>
      <c r="PWN28"/>
      <c r="PWO28"/>
      <c r="PWP28"/>
      <c r="PWQ28"/>
      <c r="PWR28"/>
      <c r="PWS28"/>
      <c r="PWT28"/>
      <c r="PWU28"/>
      <c r="PWV28"/>
      <c r="PWW28"/>
      <c r="PWX28"/>
      <c r="PWY28"/>
      <c r="PWZ28"/>
      <c r="PXA28"/>
      <c r="PXB28"/>
      <c r="PXC28"/>
      <c r="PXD28"/>
      <c r="PXE28"/>
      <c r="PXF28"/>
      <c r="PXG28"/>
      <c r="PXH28"/>
      <c r="PXI28"/>
      <c r="PXJ28"/>
      <c r="PXK28"/>
      <c r="PXL28"/>
      <c r="PXM28"/>
      <c r="PXN28"/>
      <c r="PXO28"/>
      <c r="PXP28"/>
      <c r="PXQ28"/>
      <c r="PXR28"/>
      <c r="PXS28"/>
      <c r="PXT28"/>
      <c r="PXU28"/>
      <c r="PXV28"/>
      <c r="PXW28"/>
      <c r="PXX28"/>
      <c r="PXY28"/>
      <c r="PXZ28"/>
      <c r="PYA28"/>
      <c r="PYB28"/>
      <c r="PYC28"/>
      <c r="PYD28"/>
      <c r="PYE28"/>
      <c r="PYF28"/>
      <c r="PYG28"/>
      <c r="PYH28"/>
      <c r="PYI28"/>
      <c r="PYJ28"/>
      <c r="PYK28"/>
      <c r="PYL28"/>
      <c r="PYM28"/>
      <c r="PYN28"/>
      <c r="PYO28"/>
      <c r="PYP28"/>
      <c r="PYQ28"/>
      <c r="PYR28"/>
      <c r="PYS28"/>
      <c r="PYT28"/>
      <c r="PYU28"/>
      <c r="PYV28"/>
      <c r="PYW28"/>
      <c r="PYX28"/>
      <c r="PYY28"/>
      <c r="PYZ28"/>
      <c r="PZA28"/>
      <c r="PZB28"/>
      <c r="PZC28"/>
      <c r="PZD28"/>
      <c r="PZE28"/>
      <c r="PZF28"/>
      <c r="PZG28"/>
      <c r="PZH28"/>
      <c r="PZI28"/>
      <c r="PZJ28"/>
      <c r="PZK28"/>
      <c r="PZL28"/>
      <c r="PZM28"/>
      <c r="PZN28"/>
      <c r="PZO28"/>
      <c r="PZP28"/>
      <c r="PZQ28"/>
      <c r="PZR28"/>
      <c r="PZS28"/>
      <c r="PZT28"/>
      <c r="PZU28"/>
      <c r="PZV28"/>
      <c r="PZW28"/>
      <c r="PZX28"/>
      <c r="PZY28"/>
      <c r="PZZ28"/>
      <c r="QAA28"/>
      <c r="QAB28"/>
      <c r="QAC28"/>
      <c r="QAD28"/>
      <c r="QAE28"/>
      <c r="QAF28"/>
      <c r="QAG28"/>
      <c r="QAH28"/>
      <c r="QAI28"/>
      <c r="QAJ28"/>
      <c r="QAK28"/>
      <c r="QAL28"/>
      <c r="QAM28"/>
      <c r="QAN28"/>
      <c r="QAO28"/>
      <c r="QAP28"/>
      <c r="QAQ28"/>
      <c r="QAR28"/>
      <c r="QAS28"/>
      <c r="QAT28"/>
      <c r="QAU28"/>
      <c r="QAV28"/>
      <c r="QAW28"/>
      <c r="QAX28"/>
      <c r="QAY28"/>
      <c r="QAZ28"/>
      <c r="QBA28"/>
      <c r="QBB28"/>
      <c r="QBC28"/>
      <c r="QBD28"/>
      <c r="QBE28"/>
      <c r="QBF28"/>
      <c r="QBG28"/>
      <c r="QBH28"/>
      <c r="QBI28"/>
      <c r="QBJ28"/>
      <c r="QBK28"/>
      <c r="QBL28"/>
      <c r="QBM28"/>
      <c r="QBN28"/>
      <c r="QBO28"/>
      <c r="QBP28"/>
      <c r="QBQ28"/>
      <c r="QBR28"/>
      <c r="QBS28"/>
      <c r="QBT28"/>
      <c r="QBU28"/>
      <c r="QBV28"/>
      <c r="QBW28"/>
      <c r="QBX28"/>
      <c r="QBY28"/>
      <c r="QBZ28"/>
      <c r="QCA28"/>
      <c r="QCB28"/>
      <c r="QCC28"/>
      <c r="QCD28"/>
      <c r="QCE28"/>
      <c r="QCF28"/>
      <c r="QCG28"/>
      <c r="QCH28"/>
      <c r="QCI28"/>
      <c r="QCJ28"/>
      <c r="QCK28"/>
      <c r="QCL28"/>
      <c r="QCM28"/>
      <c r="QCN28"/>
      <c r="QCO28"/>
      <c r="QCP28"/>
      <c r="QCQ28"/>
      <c r="QCR28"/>
      <c r="QCS28"/>
      <c r="QCT28"/>
      <c r="QCU28"/>
      <c r="QCV28"/>
      <c r="QCW28"/>
      <c r="QCX28"/>
      <c r="QCY28"/>
      <c r="QCZ28"/>
      <c r="QDA28"/>
      <c r="QDB28"/>
      <c r="QDC28"/>
      <c r="QDD28"/>
      <c r="QDE28"/>
      <c r="QDF28"/>
      <c r="QDG28"/>
      <c r="QDH28"/>
      <c r="QDI28"/>
      <c r="QDJ28"/>
      <c r="QDK28"/>
      <c r="QDL28"/>
      <c r="QDM28"/>
      <c r="QDN28"/>
      <c r="QDO28"/>
      <c r="QDP28"/>
      <c r="QDQ28"/>
      <c r="QDR28"/>
      <c r="QDS28"/>
      <c r="QDT28"/>
      <c r="QDU28"/>
      <c r="QDV28"/>
      <c r="QDW28"/>
      <c r="QDX28"/>
      <c r="QDY28"/>
      <c r="QDZ28"/>
      <c r="QEA28"/>
      <c r="QEB28"/>
      <c r="QEC28"/>
      <c r="QED28"/>
      <c r="QEE28"/>
      <c r="QEF28"/>
      <c r="QEG28"/>
      <c r="QEH28"/>
      <c r="QEI28"/>
      <c r="QEJ28"/>
      <c r="QEK28"/>
      <c r="QEL28"/>
      <c r="QEM28"/>
      <c r="QEN28"/>
      <c r="QEO28"/>
      <c r="QEP28"/>
      <c r="QEQ28"/>
      <c r="QER28"/>
      <c r="QES28"/>
      <c r="QET28"/>
      <c r="QEU28"/>
      <c r="QEV28"/>
      <c r="QEW28"/>
      <c r="QEX28"/>
      <c r="QEY28"/>
      <c r="QEZ28"/>
      <c r="QFA28"/>
      <c r="QFB28"/>
      <c r="QFC28"/>
      <c r="QFD28"/>
      <c r="QFE28"/>
      <c r="QFF28"/>
      <c r="QFG28"/>
      <c r="QFH28"/>
      <c r="QFI28"/>
      <c r="QFJ28"/>
      <c r="QFK28"/>
      <c r="QFL28"/>
      <c r="QFM28"/>
      <c r="QFN28"/>
      <c r="QFO28"/>
      <c r="QFP28"/>
      <c r="QFQ28"/>
      <c r="QFR28"/>
      <c r="QFS28"/>
      <c r="QFT28"/>
      <c r="QFU28"/>
      <c r="QFV28"/>
      <c r="QFW28"/>
      <c r="QFX28"/>
      <c r="QFY28"/>
      <c r="QFZ28"/>
      <c r="QGA28"/>
      <c r="QGB28"/>
      <c r="QGC28"/>
      <c r="QGD28"/>
      <c r="QGE28"/>
      <c r="QGF28"/>
      <c r="QGG28"/>
      <c r="QGH28"/>
      <c r="QGI28"/>
      <c r="QGJ28"/>
      <c r="QGK28"/>
      <c r="QGL28"/>
      <c r="QGM28"/>
      <c r="QGN28"/>
      <c r="QGO28"/>
      <c r="QGP28"/>
      <c r="QGQ28"/>
      <c r="QGR28"/>
      <c r="QGS28"/>
      <c r="QGT28"/>
      <c r="QGU28"/>
      <c r="QGV28"/>
      <c r="QGW28"/>
      <c r="QGX28"/>
      <c r="QGY28"/>
      <c r="QGZ28"/>
      <c r="QHA28"/>
      <c r="QHB28"/>
      <c r="QHC28"/>
      <c r="QHD28"/>
      <c r="QHE28"/>
      <c r="QHF28"/>
      <c r="QHG28"/>
      <c r="QHH28"/>
      <c r="QHI28"/>
      <c r="QHJ28"/>
      <c r="QHK28"/>
      <c r="QHL28"/>
      <c r="QHM28"/>
      <c r="QHN28"/>
      <c r="QHO28"/>
      <c r="QHP28"/>
      <c r="QHQ28"/>
      <c r="QHR28"/>
      <c r="QHS28"/>
      <c r="QHT28"/>
      <c r="QHU28"/>
      <c r="QHV28"/>
      <c r="QHW28"/>
      <c r="QHX28"/>
      <c r="QHY28"/>
      <c r="QHZ28"/>
      <c r="QIA28"/>
      <c r="QIB28"/>
      <c r="QIC28"/>
      <c r="QID28"/>
      <c r="QIE28"/>
      <c r="QIF28"/>
      <c r="QIG28"/>
      <c r="QIH28"/>
      <c r="QII28"/>
      <c r="QIJ28"/>
      <c r="QIK28"/>
      <c r="QIL28"/>
      <c r="QIM28"/>
      <c r="QIN28"/>
      <c r="QIO28"/>
      <c r="QIP28"/>
      <c r="QIQ28"/>
      <c r="QIR28"/>
      <c r="QIS28"/>
      <c r="QIT28"/>
      <c r="QIU28"/>
      <c r="QIV28"/>
      <c r="QIW28"/>
      <c r="QIX28"/>
      <c r="QIY28"/>
      <c r="QIZ28"/>
      <c r="QJA28"/>
      <c r="QJB28"/>
      <c r="QJC28"/>
      <c r="QJD28"/>
      <c r="QJE28"/>
      <c r="QJF28"/>
      <c r="QJG28"/>
      <c r="QJH28"/>
      <c r="QJI28"/>
      <c r="QJJ28"/>
      <c r="QJK28"/>
      <c r="QJL28"/>
      <c r="QJM28"/>
      <c r="QJN28"/>
      <c r="QJO28"/>
      <c r="QJP28"/>
      <c r="QJQ28"/>
      <c r="QJR28"/>
      <c r="QJS28"/>
      <c r="QJT28"/>
      <c r="QJU28"/>
      <c r="QJV28"/>
      <c r="QJW28"/>
      <c r="QJX28"/>
      <c r="QJY28"/>
      <c r="QJZ28"/>
      <c r="QKA28"/>
      <c r="QKB28"/>
      <c r="QKC28"/>
      <c r="QKD28"/>
      <c r="QKE28"/>
      <c r="QKF28"/>
      <c r="QKG28"/>
      <c r="QKH28"/>
      <c r="QKI28"/>
      <c r="QKJ28"/>
      <c r="QKK28"/>
      <c r="QKL28"/>
      <c r="QKM28"/>
      <c r="QKN28"/>
      <c r="QKO28"/>
      <c r="QKP28"/>
      <c r="QKQ28"/>
      <c r="QKR28"/>
      <c r="QKS28"/>
      <c r="QKT28"/>
      <c r="QKU28"/>
      <c r="QKV28"/>
      <c r="QKW28"/>
      <c r="QKX28"/>
      <c r="QKY28"/>
      <c r="QKZ28"/>
      <c r="QLA28"/>
      <c r="QLB28"/>
      <c r="QLC28"/>
      <c r="QLD28"/>
      <c r="QLE28"/>
      <c r="QLF28"/>
      <c r="QLG28"/>
      <c r="QLH28"/>
      <c r="QLI28"/>
      <c r="QLJ28"/>
      <c r="QLK28"/>
      <c r="QLL28"/>
      <c r="QLM28"/>
      <c r="QLN28"/>
      <c r="QLO28"/>
      <c r="QLP28"/>
      <c r="QLQ28"/>
      <c r="QLR28"/>
      <c r="QLS28"/>
      <c r="QLT28"/>
      <c r="QLU28"/>
      <c r="QLV28"/>
      <c r="QLW28"/>
      <c r="QLX28"/>
      <c r="QLY28"/>
      <c r="QLZ28"/>
      <c r="QMA28"/>
      <c r="QMB28"/>
      <c r="QMC28"/>
      <c r="QMD28"/>
      <c r="QME28"/>
      <c r="QMF28"/>
      <c r="QMG28"/>
      <c r="QMH28"/>
      <c r="QMI28"/>
      <c r="QMJ28"/>
      <c r="QMK28"/>
      <c r="QML28"/>
      <c r="QMM28"/>
      <c r="QMN28"/>
      <c r="QMO28"/>
      <c r="QMP28"/>
      <c r="QMQ28"/>
      <c r="QMR28"/>
      <c r="QMS28"/>
      <c r="QMT28"/>
      <c r="QMU28"/>
      <c r="QMV28"/>
      <c r="QMW28"/>
      <c r="QMX28"/>
      <c r="QMY28"/>
      <c r="QMZ28"/>
      <c r="QNA28"/>
      <c r="QNB28"/>
      <c r="QNC28"/>
      <c r="QND28"/>
      <c r="QNE28"/>
      <c r="QNF28"/>
      <c r="QNG28"/>
      <c r="QNH28"/>
      <c r="QNI28"/>
      <c r="QNJ28"/>
      <c r="QNK28"/>
      <c r="QNL28"/>
      <c r="QNM28"/>
      <c r="QNN28"/>
      <c r="QNO28"/>
      <c r="QNP28"/>
      <c r="QNQ28"/>
      <c r="QNR28"/>
      <c r="QNS28"/>
      <c r="QNT28"/>
      <c r="QNU28"/>
      <c r="QNV28"/>
      <c r="QNW28"/>
      <c r="QNX28"/>
      <c r="QNY28"/>
      <c r="QNZ28"/>
      <c r="QOA28"/>
      <c r="QOB28"/>
      <c r="QOC28"/>
      <c r="QOD28"/>
      <c r="QOE28"/>
      <c r="QOF28"/>
      <c r="QOG28"/>
      <c r="QOH28"/>
      <c r="QOI28"/>
      <c r="QOJ28"/>
      <c r="QOK28"/>
      <c r="QOL28"/>
      <c r="QOM28"/>
      <c r="QON28"/>
      <c r="QOO28"/>
      <c r="QOP28"/>
      <c r="QOQ28"/>
      <c r="QOR28"/>
      <c r="QOS28"/>
      <c r="QOT28"/>
      <c r="QOU28"/>
      <c r="QOV28"/>
      <c r="QOW28"/>
      <c r="QOX28"/>
      <c r="QOY28"/>
      <c r="QOZ28"/>
      <c r="QPA28"/>
      <c r="QPB28"/>
      <c r="QPC28"/>
      <c r="QPD28"/>
      <c r="QPE28"/>
      <c r="QPF28"/>
      <c r="QPG28"/>
      <c r="QPH28"/>
      <c r="QPI28"/>
      <c r="QPJ28"/>
      <c r="QPK28"/>
      <c r="QPL28"/>
      <c r="QPM28"/>
      <c r="QPN28"/>
      <c r="QPO28"/>
      <c r="QPP28"/>
      <c r="QPQ28"/>
      <c r="QPR28"/>
      <c r="QPS28"/>
      <c r="QPT28"/>
      <c r="QPU28"/>
      <c r="QPV28"/>
      <c r="QPW28"/>
      <c r="QPX28"/>
      <c r="QPY28"/>
      <c r="QPZ28"/>
      <c r="QQA28"/>
      <c r="QQB28"/>
      <c r="QQC28"/>
      <c r="QQD28"/>
      <c r="QQE28"/>
      <c r="QQF28"/>
      <c r="QQG28"/>
      <c r="QQH28"/>
      <c r="QQI28"/>
      <c r="QQJ28"/>
      <c r="QQK28"/>
      <c r="QQL28"/>
      <c r="QQM28"/>
      <c r="QQN28"/>
      <c r="QQO28"/>
      <c r="QQP28"/>
      <c r="QQQ28"/>
      <c r="QQR28"/>
      <c r="QQS28"/>
      <c r="QQT28"/>
      <c r="QQU28"/>
      <c r="QQV28"/>
      <c r="QQW28"/>
      <c r="QQX28"/>
      <c r="QQY28"/>
      <c r="QQZ28"/>
      <c r="QRA28"/>
      <c r="QRB28"/>
      <c r="QRC28"/>
      <c r="QRD28"/>
      <c r="QRE28"/>
      <c r="QRF28"/>
      <c r="QRG28"/>
      <c r="QRH28"/>
      <c r="QRI28"/>
      <c r="QRJ28"/>
      <c r="QRK28"/>
      <c r="QRL28"/>
      <c r="QRM28"/>
      <c r="QRN28"/>
      <c r="QRO28"/>
      <c r="QRP28"/>
      <c r="QRQ28"/>
      <c r="QRR28"/>
      <c r="QRS28"/>
      <c r="QRT28"/>
      <c r="QRU28"/>
      <c r="QRV28"/>
      <c r="QRW28"/>
      <c r="QRX28"/>
      <c r="QRY28"/>
      <c r="QRZ28"/>
      <c r="QSA28"/>
      <c r="QSB28"/>
      <c r="QSC28"/>
      <c r="QSD28"/>
      <c r="QSE28"/>
      <c r="QSF28"/>
      <c r="QSG28"/>
      <c r="QSH28"/>
      <c r="QSI28"/>
      <c r="QSJ28"/>
      <c r="QSK28"/>
      <c r="QSL28"/>
      <c r="QSM28"/>
      <c r="QSN28"/>
      <c r="QSO28"/>
      <c r="QSP28"/>
      <c r="QSQ28"/>
      <c r="QSR28"/>
      <c r="QSS28"/>
      <c r="QST28"/>
      <c r="QSU28"/>
      <c r="QSV28"/>
      <c r="QSW28"/>
      <c r="QSX28"/>
      <c r="QSY28"/>
      <c r="QSZ28"/>
      <c r="QTA28"/>
      <c r="QTB28"/>
      <c r="QTC28"/>
      <c r="QTD28"/>
      <c r="QTE28"/>
      <c r="QTF28"/>
      <c r="QTG28"/>
      <c r="QTH28"/>
      <c r="QTI28"/>
      <c r="QTJ28"/>
      <c r="QTK28"/>
      <c r="QTL28"/>
      <c r="QTM28"/>
      <c r="QTN28"/>
      <c r="QTO28"/>
      <c r="QTP28"/>
      <c r="QTQ28"/>
      <c r="QTR28"/>
      <c r="QTS28"/>
      <c r="QTT28"/>
      <c r="QTU28"/>
      <c r="QTV28"/>
      <c r="QTW28"/>
      <c r="QTX28"/>
      <c r="QTY28"/>
      <c r="QTZ28"/>
      <c r="QUA28"/>
      <c r="QUB28"/>
      <c r="QUC28"/>
      <c r="QUD28"/>
      <c r="QUE28"/>
      <c r="QUF28"/>
      <c r="QUG28"/>
      <c r="QUH28"/>
      <c r="QUI28"/>
      <c r="QUJ28"/>
      <c r="QUK28"/>
      <c r="QUL28"/>
      <c r="QUM28"/>
      <c r="QUN28"/>
      <c r="QUO28"/>
      <c r="QUP28"/>
      <c r="QUQ28"/>
      <c r="QUR28"/>
      <c r="QUS28"/>
      <c r="QUT28"/>
      <c r="QUU28"/>
      <c r="QUV28"/>
      <c r="QUW28"/>
      <c r="QUX28"/>
      <c r="QUY28"/>
      <c r="QUZ28"/>
      <c r="QVA28"/>
      <c r="QVB28"/>
      <c r="QVC28"/>
      <c r="QVD28"/>
      <c r="QVE28"/>
      <c r="QVF28"/>
      <c r="QVG28"/>
      <c r="QVH28"/>
      <c r="QVI28"/>
      <c r="QVJ28"/>
      <c r="QVK28"/>
      <c r="QVL28"/>
      <c r="QVM28"/>
      <c r="QVN28"/>
      <c r="QVO28"/>
      <c r="QVP28"/>
      <c r="QVQ28"/>
      <c r="QVR28"/>
      <c r="QVS28"/>
      <c r="QVT28"/>
      <c r="QVU28"/>
      <c r="QVV28"/>
      <c r="QVW28"/>
      <c r="QVX28"/>
      <c r="QVY28"/>
      <c r="QVZ28"/>
      <c r="QWA28"/>
      <c r="QWB28"/>
      <c r="QWC28"/>
      <c r="QWD28"/>
      <c r="QWE28"/>
      <c r="QWF28"/>
      <c r="QWG28"/>
      <c r="QWH28"/>
      <c r="QWI28"/>
      <c r="QWJ28"/>
      <c r="QWK28"/>
      <c r="QWL28"/>
      <c r="QWM28"/>
      <c r="QWN28"/>
      <c r="QWO28"/>
      <c r="QWP28"/>
      <c r="QWQ28"/>
      <c r="QWR28"/>
      <c r="QWS28"/>
      <c r="QWT28"/>
      <c r="QWU28"/>
      <c r="QWV28"/>
      <c r="QWW28"/>
      <c r="QWX28"/>
      <c r="QWY28"/>
      <c r="QWZ28"/>
      <c r="QXA28"/>
      <c r="QXB28"/>
      <c r="QXC28"/>
      <c r="QXD28"/>
      <c r="QXE28"/>
      <c r="QXF28"/>
      <c r="QXG28"/>
      <c r="QXH28"/>
      <c r="QXI28"/>
      <c r="QXJ28"/>
      <c r="QXK28"/>
      <c r="QXL28"/>
      <c r="QXM28"/>
      <c r="QXN28"/>
      <c r="QXO28"/>
      <c r="QXP28"/>
      <c r="QXQ28"/>
      <c r="QXR28"/>
      <c r="QXS28"/>
      <c r="QXT28"/>
      <c r="QXU28"/>
      <c r="QXV28"/>
      <c r="QXW28"/>
      <c r="QXX28"/>
      <c r="QXY28"/>
      <c r="QXZ28"/>
      <c r="QYA28"/>
      <c r="QYB28"/>
      <c r="QYC28"/>
      <c r="QYD28"/>
      <c r="QYE28"/>
      <c r="QYF28"/>
      <c r="QYG28"/>
      <c r="QYH28"/>
      <c r="QYI28"/>
      <c r="QYJ28"/>
      <c r="QYK28"/>
      <c r="QYL28"/>
      <c r="QYM28"/>
      <c r="QYN28"/>
      <c r="QYO28"/>
      <c r="QYP28"/>
      <c r="QYQ28"/>
      <c r="QYR28"/>
      <c r="QYS28"/>
      <c r="QYT28"/>
      <c r="QYU28"/>
      <c r="QYV28"/>
      <c r="QYW28"/>
      <c r="QYX28"/>
      <c r="QYY28"/>
      <c r="QYZ28"/>
      <c r="QZA28"/>
      <c r="QZB28"/>
      <c r="QZC28"/>
      <c r="QZD28"/>
      <c r="QZE28"/>
      <c r="QZF28"/>
      <c r="QZG28"/>
      <c r="QZH28"/>
      <c r="QZI28"/>
      <c r="QZJ28"/>
      <c r="QZK28"/>
      <c r="QZL28"/>
      <c r="QZM28"/>
      <c r="QZN28"/>
      <c r="QZO28"/>
      <c r="QZP28"/>
      <c r="QZQ28"/>
      <c r="QZR28"/>
      <c r="QZS28"/>
      <c r="QZT28"/>
      <c r="QZU28"/>
      <c r="QZV28"/>
      <c r="QZW28"/>
      <c r="QZX28"/>
      <c r="QZY28"/>
      <c r="QZZ28"/>
      <c r="RAA28"/>
      <c r="RAB28"/>
      <c r="RAC28"/>
      <c r="RAD28"/>
      <c r="RAE28"/>
      <c r="RAF28"/>
      <c r="RAG28"/>
      <c r="RAH28"/>
      <c r="RAI28"/>
      <c r="RAJ28"/>
      <c r="RAK28"/>
      <c r="RAL28"/>
      <c r="RAM28"/>
      <c r="RAN28"/>
      <c r="RAO28"/>
      <c r="RAP28"/>
      <c r="RAQ28"/>
      <c r="RAR28"/>
      <c r="RAS28"/>
      <c r="RAT28"/>
      <c r="RAU28"/>
      <c r="RAV28"/>
      <c r="RAW28"/>
      <c r="RAX28"/>
      <c r="RAY28"/>
      <c r="RAZ28"/>
      <c r="RBA28"/>
      <c r="RBB28"/>
      <c r="RBC28"/>
      <c r="RBD28"/>
      <c r="RBE28"/>
      <c r="RBF28"/>
      <c r="RBG28"/>
      <c r="RBH28"/>
      <c r="RBI28"/>
      <c r="RBJ28"/>
      <c r="RBK28"/>
      <c r="RBL28"/>
      <c r="RBM28"/>
      <c r="RBN28"/>
      <c r="RBO28"/>
      <c r="RBP28"/>
      <c r="RBQ28"/>
      <c r="RBR28"/>
      <c r="RBS28"/>
      <c r="RBT28"/>
      <c r="RBU28"/>
      <c r="RBV28"/>
      <c r="RBW28"/>
      <c r="RBX28"/>
      <c r="RBY28"/>
      <c r="RBZ28"/>
      <c r="RCA28"/>
      <c r="RCB28"/>
      <c r="RCC28"/>
      <c r="RCD28"/>
      <c r="RCE28"/>
      <c r="RCF28"/>
      <c r="RCG28"/>
      <c r="RCH28"/>
      <c r="RCI28"/>
      <c r="RCJ28"/>
      <c r="RCK28"/>
      <c r="RCL28"/>
      <c r="RCM28"/>
      <c r="RCN28"/>
      <c r="RCO28"/>
      <c r="RCP28"/>
      <c r="RCQ28"/>
      <c r="RCR28"/>
      <c r="RCS28"/>
      <c r="RCT28"/>
      <c r="RCU28"/>
      <c r="RCV28"/>
      <c r="RCW28"/>
      <c r="RCX28"/>
      <c r="RCY28"/>
      <c r="RCZ28"/>
      <c r="RDA28"/>
      <c r="RDB28"/>
      <c r="RDC28"/>
      <c r="RDD28"/>
      <c r="RDE28"/>
      <c r="RDF28"/>
      <c r="RDG28"/>
      <c r="RDH28"/>
      <c r="RDI28"/>
      <c r="RDJ28"/>
      <c r="RDK28"/>
      <c r="RDL28"/>
      <c r="RDM28"/>
      <c r="RDN28"/>
      <c r="RDO28"/>
      <c r="RDP28"/>
      <c r="RDQ28"/>
      <c r="RDR28"/>
      <c r="RDS28"/>
      <c r="RDT28"/>
      <c r="RDU28"/>
      <c r="RDV28"/>
      <c r="RDW28"/>
      <c r="RDX28"/>
      <c r="RDY28"/>
      <c r="RDZ28"/>
      <c r="REA28"/>
      <c r="REB28"/>
      <c r="REC28"/>
      <c r="RED28"/>
      <c r="REE28"/>
      <c r="REF28"/>
      <c r="REG28"/>
      <c r="REH28"/>
      <c r="REI28"/>
      <c r="REJ28"/>
      <c r="REK28"/>
      <c r="REL28"/>
      <c r="REM28"/>
      <c r="REN28"/>
      <c r="REO28"/>
      <c r="REP28"/>
      <c r="REQ28"/>
      <c r="RER28"/>
      <c r="RES28"/>
      <c r="RET28"/>
      <c r="REU28"/>
      <c r="REV28"/>
      <c r="REW28"/>
      <c r="REX28"/>
      <c r="REY28"/>
      <c r="REZ28"/>
      <c r="RFA28"/>
      <c r="RFB28"/>
      <c r="RFC28"/>
      <c r="RFD28"/>
      <c r="RFE28"/>
      <c r="RFF28"/>
      <c r="RFG28"/>
      <c r="RFH28"/>
      <c r="RFI28"/>
      <c r="RFJ28"/>
      <c r="RFK28"/>
      <c r="RFL28"/>
      <c r="RFM28"/>
      <c r="RFN28"/>
      <c r="RFO28"/>
      <c r="RFP28"/>
      <c r="RFQ28"/>
      <c r="RFR28"/>
      <c r="RFS28"/>
      <c r="RFT28"/>
      <c r="RFU28"/>
      <c r="RFV28"/>
      <c r="RFW28"/>
      <c r="RFX28"/>
      <c r="RFY28"/>
      <c r="RFZ28"/>
      <c r="RGA28"/>
      <c r="RGB28"/>
      <c r="RGC28"/>
      <c r="RGD28"/>
      <c r="RGE28"/>
      <c r="RGF28"/>
      <c r="RGG28"/>
      <c r="RGH28"/>
      <c r="RGI28"/>
      <c r="RGJ28"/>
      <c r="RGK28"/>
      <c r="RGL28"/>
      <c r="RGM28"/>
      <c r="RGN28"/>
      <c r="RGO28"/>
      <c r="RGP28"/>
      <c r="RGQ28"/>
      <c r="RGR28"/>
      <c r="RGS28"/>
      <c r="RGT28"/>
      <c r="RGU28"/>
      <c r="RGV28"/>
      <c r="RGW28"/>
      <c r="RGX28"/>
      <c r="RGY28"/>
      <c r="RGZ28"/>
      <c r="RHA28"/>
      <c r="RHB28"/>
      <c r="RHC28"/>
      <c r="RHD28"/>
      <c r="RHE28"/>
      <c r="RHF28"/>
      <c r="RHG28"/>
      <c r="RHH28"/>
      <c r="RHI28"/>
      <c r="RHJ28"/>
      <c r="RHK28"/>
      <c r="RHL28"/>
      <c r="RHM28"/>
      <c r="RHN28"/>
      <c r="RHO28"/>
      <c r="RHP28"/>
      <c r="RHQ28"/>
      <c r="RHR28"/>
      <c r="RHS28"/>
      <c r="RHT28"/>
      <c r="RHU28"/>
      <c r="RHV28"/>
      <c r="RHW28"/>
      <c r="RHX28"/>
      <c r="RHY28"/>
      <c r="RHZ28"/>
      <c r="RIA28"/>
      <c r="RIB28"/>
      <c r="RIC28"/>
      <c r="RID28"/>
      <c r="RIE28"/>
      <c r="RIF28"/>
      <c r="RIG28"/>
      <c r="RIH28"/>
      <c r="RII28"/>
      <c r="RIJ28"/>
      <c r="RIK28"/>
      <c r="RIL28"/>
      <c r="RIM28"/>
      <c r="RIN28"/>
      <c r="RIO28"/>
      <c r="RIP28"/>
      <c r="RIQ28"/>
      <c r="RIR28"/>
      <c r="RIS28"/>
      <c r="RIT28"/>
      <c r="RIU28"/>
      <c r="RIV28"/>
      <c r="RIW28"/>
      <c r="RIX28"/>
      <c r="RIY28"/>
      <c r="RIZ28"/>
      <c r="RJA28"/>
      <c r="RJB28"/>
      <c r="RJC28"/>
      <c r="RJD28"/>
      <c r="RJE28"/>
      <c r="RJF28"/>
      <c r="RJG28"/>
      <c r="RJH28"/>
      <c r="RJI28"/>
      <c r="RJJ28"/>
      <c r="RJK28"/>
      <c r="RJL28"/>
      <c r="RJM28"/>
      <c r="RJN28"/>
      <c r="RJO28"/>
      <c r="RJP28"/>
      <c r="RJQ28"/>
      <c r="RJR28"/>
      <c r="RJS28"/>
      <c r="RJT28"/>
      <c r="RJU28"/>
      <c r="RJV28"/>
      <c r="RJW28"/>
      <c r="RJX28"/>
      <c r="RJY28"/>
      <c r="RJZ28"/>
      <c r="RKA28"/>
      <c r="RKB28"/>
      <c r="RKC28"/>
      <c r="RKD28"/>
      <c r="RKE28"/>
      <c r="RKF28"/>
      <c r="RKG28"/>
      <c r="RKH28"/>
      <c r="RKI28"/>
      <c r="RKJ28"/>
      <c r="RKK28"/>
      <c r="RKL28"/>
      <c r="RKM28"/>
      <c r="RKN28"/>
      <c r="RKO28"/>
      <c r="RKP28"/>
      <c r="RKQ28"/>
      <c r="RKR28"/>
      <c r="RKS28"/>
      <c r="RKT28"/>
      <c r="RKU28"/>
      <c r="RKV28"/>
      <c r="RKW28"/>
      <c r="RKX28"/>
      <c r="RKY28"/>
      <c r="RKZ28"/>
      <c r="RLA28"/>
      <c r="RLB28"/>
      <c r="RLC28"/>
      <c r="RLD28"/>
      <c r="RLE28"/>
      <c r="RLF28"/>
      <c r="RLG28"/>
      <c r="RLH28"/>
      <c r="RLI28"/>
      <c r="RLJ28"/>
      <c r="RLK28"/>
      <c r="RLL28"/>
      <c r="RLM28"/>
      <c r="RLN28"/>
      <c r="RLO28"/>
      <c r="RLP28"/>
      <c r="RLQ28"/>
      <c r="RLR28"/>
      <c r="RLS28"/>
      <c r="RLT28"/>
      <c r="RLU28"/>
      <c r="RLV28"/>
      <c r="RLW28"/>
      <c r="RLX28"/>
      <c r="RLY28"/>
      <c r="RLZ28"/>
      <c r="RMA28"/>
      <c r="RMB28"/>
      <c r="RMC28"/>
      <c r="RMD28"/>
      <c r="RME28"/>
      <c r="RMF28"/>
      <c r="RMG28"/>
      <c r="RMH28"/>
      <c r="RMI28"/>
      <c r="RMJ28"/>
      <c r="RMK28"/>
      <c r="RML28"/>
      <c r="RMM28"/>
      <c r="RMN28"/>
      <c r="RMO28"/>
      <c r="RMP28"/>
      <c r="RMQ28"/>
      <c r="RMR28"/>
      <c r="RMS28"/>
      <c r="RMT28"/>
      <c r="RMU28"/>
      <c r="RMV28"/>
      <c r="RMW28"/>
      <c r="RMX28"/>
      <c r="RMY28"/>
      <c r="RMZ28"/>
      <c r="RNA28"/>
      <c r="RNB28"/>
      <c r="RNC28"/>
      <c r="RND28"/>
      <c r="RNE28"/>
      <c r="RNF28"/>
      <c r="RNG28"/>
      <c r="RNH28"/>
      <c r="RNI28"/>
      <c r="RNJ28"/>
      <c r="RNK28"/>
      <c r="RNL28"/>
      <c r="RNM28"/>
      <c r="RNN28"/>
      <c r="RNO28"/>
      <c r="RNP28"/>
      <c r="RNQ28"/>
      <c r="RNR28"/>
      <c r="RNS28"/>
      <c r="RNT28"/>
      <c r="RNU28"/>
      <c r="RNV28"/>
      <c r="RNW28"/>
      <c r="RNX28"/>
      <c r="RNY28"/>
      <c r="RNZ28"/>
      <c r="ROA28"/>
      <c r="ROB28"/>
      <c r="ROC28"/>
      <c r="ROD28"/>
      <c r="ROE28"/>
      <c r="ROF28"/>
      <c r="ROG28"/>
      <c r="ROH28"/>
      <c r="ROI28"/>
      <c r="ROJ28"/>
      <c r="ROK28"/>
      <c r="ROL28"/>
      <c r="ROM28"/>
      <c r="RON28"/>
      <c r="ROO28"/>
      <c r="ROP28"/>
      <c r="ROQ28"/>
      <c r="ROR28"/>
      <c r="ROS28"/>
      <c r="ROT28"/>
      <c r="ROU28"/>
      <c r="ROV28"/>
      <c r="ROW28"/>
      <c r="ROX28"/>
      <c r="ROY28"/>
      <c r="ROZ28"/>
      <c r="RPA28"/>
      <c r="RPB28"/>
      <c r="RPC28"/>
      <c r="RPD28"/>
      <c r="RPE28"/>
      <c r="RPF28"/>
      <c r="RPG28"/>
      <c r="RPH28"/>
      <c r="RPI28"/>
      <c r="RPJ28"/>
      <c r="RPK28"/>
      <c r="RPL28"/>
      <c r="RPM28"/>
      <c r="RPN28"/>
      <c r="RPO28"/>
      <c r="RPP28"/>
      <c r="RPQ28"/>
      <c r="RPR28"/>
      <c r="RPS28"/>
      <c r="RPT28"/>
      <c r="RPU28"/>
      <c r="RPV28"/>
      <c r="RPW28"/>
      <c r="RPX28"/>
      <c r="RPY28"/>
      <c r="RPZ28"/>
      <c r="RQA28"/>
      <c r="RQB28"/>
      <c r="RQC28"/>
      <c r="RQD28"/>
      <c r="RQE28"/>
      <c r="RQF28"/>
      <c r="RQG28"/>
      <c r="RQH28"/>
      <c r="RQI28"/>
      <c r="RQJ28"/>
      <c r="RQK28"/>
      <c r="RQL28"/>
      <c r="RQM28"/>
      <c r="RQN28"/>
      <c r="RQO28"/>
      <c r="RQP28"/>
      <c r="RQQ28"/>
      <c r="RQR28"/>
      <c r="RQS28"/>
      <c r="RQT28"/>
      <c r="RQU28"/>
      <c r="RQV28"/>
      <c r="RQW28"/>
      <c r="RQX28"/>
      <c r="RQY28"/>
      <c r="RQZ28"/>
      <c r="RRA28"/>
      <c r="RRB28"/>
      <c r="RRC28"/>
      <c r="RRD28"/>
      <c r="RRE28"/>
      <c r="RRF28"/>
      <c r="RRG28"/>
      <c r="RRH28"/>
      <c r="RRI28"/>
      <c r="RRJ28"/>
      <c r="RRK28"/>
      <c r="RRL28"/>
      <c r="RRM28"/>
      <c r="RRN28"/>
      <c r="RRO28"/>
      <c r="RRP28"/>
      <c r="RRQ28"/>
      <c r="RRR28"/>
      <c r="RRS28"/>
      <c r="RRT28"/>
      <c r="RRU28"/>
      <c r="RRV28"/>
      <c r="RRW28"/>
      <c r="RRX28"/>
      <c r="RRY28"/>
      <c r="RRZ28"/>
      <c r="RSA28"/>
      <c r="RSB28"/>
      <c r="RSC28"/>
      <c r="RSD28"/>
      <c r="RSE28"/>
      <c r="RSF28"/>
      <c r="RSG28"/>
      <c r="RSH28"/>
      <c r="RSI28"/>
      <c r="RSJ28"/>
      <c r="RSK28"/>
      <c r="RSL28"/>
      <c r="RSM28"/>
      <c r="RSN28"/>
      <c r="RSO28"/>
      <c r="RSP28"/>
      <c r="RSQ28"/>
      <c r="RSR28"/>
      <c r="RSS28"/>
      <c r="RST28"/>
      <c r="RSU28"/>
      <c r="RSV28"/>
      <c r="RSW28"/>
      <c r="RSX28"/>
      <c r="RSY28"/>
      <c r="RSZ28"/>
      <c r="RTA28"/>
      <c r="RTB28"/>
      <c r="RTC28"/>
      <c r="RTD28"/>
      <c r="RTE28"/>
      <c r="RTF28"/>
      <c r="RTG28"/>
      <c r="RTH28"/>
      <c r="RTI28"/>
      <c r="RTJ28"/>
      <c r="RTK28"/>
      <c r="RTL28"/>
      <c r="RTM28"/>
      <c r="RTN28"/>
      <c r="RTO28"/>
      <c r="RTP28"/>
      <c r="RTQ28"/>
      <c r="RTR28"/>
      <c r="RTS28"/>
      <c r="RTT28"/>
      <c r="RTU28"/>
      <c r="RTV28"/>
      <c r="RTW28"/>
      <c r="RTX28"/>
      <c r="RTY28"/>
      <c r="RTZ28"/>
      <c r="RUA28"/>
      <c r="RUB28"/>
      <c r="RUC28"/>
      <c r="RUD28"/>
      <c r="RUE28"/>
      <c r="RUF28"/>
      <c r="RUG28"/>
      <c r="RUH28"/>
      <c r="RUI28"/>
      <c r="RUJ28"/>
      <c r="RUK28"/>
      <c r="RUL28"/>
      <c r="RUM28"/>
      <c r="RUN28"/>
      <c r="RUO28"/>
      <c r="RUP28"/>
      <c r="RUQ28"/>
      <c r="RUR28"/>
      <c r="RUS28"/>
      <c r="RUT28"/>
      <c r="RUU28"/>
      <c r="RUV28"/>
      <c r="RUW28"/>
      <c r="RUX28"/>
      <c r="RUY28"/>
      <c r="RUZ28"/>
      <c r="RVA28"/>
      <c r="RVB28"/>
      <c r="RVC28"/>
      <c r="RVD28"/>
      <c r="RVE28"/>
      <c r="RVF28"/>
      <c r="RVG28"/>
      <c r="RVH28"/>
      <c r="RVI28"/>
      <c r="RVJ28"/>
      <c r="RVK28"/>
      <c r="RVL28"/>
      <c r="RVM28"/>
      <c r="RVN28"/>
      <c r="RVO28"/>
      <c r="RVP28"/>
      <c r="RVQ28"/>
      <c r="RVR28"/>
      <c r="RVS28"/>
      <c r="RVT28"/>
      <c r="RVU28"/>
      <c r="RVV28"/>
      <c r="RVW28"/>
      <c r="RVX28"/>
      <c r="RVY28"/>
      <c r="RVZ28"/>
      <c r="RWA28"/>
      <c r="RWB28"/>
      <c r="RWC28"/>
      <c r="RWD28"/>
      <c r="RWE28"/>
      <c r="RWF28"/>
      <c r="RWG28"/>
      <c r="RWH28"/>
      <c r="RWI28"/>
      <c r="RWJ28"/>
      <c r="RWK28"/>
      <c r="RWL28"/>
      <c r="RWM28"/>
      <c r="RWN28"/>
      <c r="RWO28"/>
      <c r="RWP28"/>
      <c r="RWQ28"/>
      <c r="RWR28"/>
      <c r="RWS28"/>
      <c r="RWT28"/>
      <c r="RWU28"/>
      <c r="RWV28"/>
      <c r="RWW28"/>
      <c r="RWX28"/>
      <c r="RWY28"/>
      <c r="RWZ28"/>
      <c r="RXA28"/>
      <c r="RXB28"/>
      <c r="RXC28"/>
      <c r="RXD28"/>
      <c r="RXE28"/>
      <c r="RXF28"/>
      <c r="RXG28"/>
      <c r="RXH28"/>
      <c r="RXI28"/>
      <c r="RXJ28"/>
      <c r="RXK28"/>
      <c r="RXL28"/>
      <c r="RXM28"/>
      <c r="RXN28"/>
      <c r="RXO28"/>
      <c r="RXP28"/>
      <c r="RXQ28"/>
      <c r="RXR28"/>
      <c r="RXS28"/>
      <c r="RXT28"/>
      <c r="RXU28"/>
      <c r="RXV28"/>
      <c r="RXW28"/>
      <c r="RXX28"/>
      <c r="RXY28"/>
      <c r="RXZ28"/>
      <c r="RYA28"/>
      <c r="RYB28"/>
      <c r="RYC28"/>
      <c r="RYD28"/>
      <c r="RYE28"/>
      <c r="RYF28"/>
      <c r="RYG28"/>
      <c r="RYH28"/>
      <c r="RYI28"/>
      <c r="RYJ28"/>
      <c r="RYK28"/>
      <c r="RYL28"/>
      <c r="RYM28"/>
      <c r="RYN28"/>
      <c r="RYO28"/>
      <c r="RYP28"/>
      <c r="RYQ28"/>
      <c r="RYR28"/>
      <c r="RYS28"/>
      <c r="RYT28"/>
      <c r="RYU28"/>
      <c r="RYV28"/>
      <c r="RYW28"/>
      <c r="RYX28"/>
      <c r="RYY28"/>
      <c r="RYZ28"/>
      <c r="RZA28"/>
      <c r="RZB28"/>
      <c r="RZC28"/>
      <c r="RZD28"/>
      <c r="RZE28"/>
      <c r="RZF28"/>
      <c r="RZG28"/>
      <c r="RZH28"/>
      <c r="RZI28"/>
      <c r="RZJ28"/>
      <c r="RZK28"/>
      <c r="RZL28"/>
      <c r="RZM28"/>
      <c r="RZN28"/>
      <c r="RZO28"/>
      <c r="RZP28"/>
      <c r="RZQ28"/>
      <c r="RZR28"/>
      <c r="RZS28"/>
      <c r="RZT28"/>
      <c r="RZU28"/>
      <c r="RZV28"/>
      <c r="RZW28"/>
      <c r="RZX28"/>
      <c r="RZY28"/>
      <c r="RZZ28"/>
      <c r="SAA28"/>
      <c r="SAB28"/>
      <c r="SAC28"/>
      <c r="SAD28"/>
      <c r="SAE28"/>
      <c r="SAF28"/>
      <c r="SAG28"/>
      <c r="SAH28"/>
      <c r="SAI28"/>
      <c r="SAJ28"/>
      <c r="SAK28"/>
      <c r="SAL28"/>
      <c r="SAM28"/>
      <c r="SAN28"/>
      <c r="SAO28"/>
      <c r="SAP28"/>
      <c r="SAQ28"/>
      <c r="SAR28"/>
      <c r="SAS28"/>
      <c r="SAT28"/>
      <c r="SAU28"/>
      <c r="SAV28"/>
      <c r="SAW28"/>
      <c r="SAX28"/>
      <c r="SAY28"/>
      <c r="SAZ28"/>
      <c r="SBA28"/>
      <c r="SBB28"/>
      <c r="SBC28"/>
      <c r="SBD28"/>
      <c r="SBE28"/>
      <c r="SBF28"/>
      <c r="SBG28"/>
      <c r="SBH28"/>
      <c r="SBI28"/>
      <c r="SBJ28"/>
      <c r="SBK28"/>
      <c r="SBL28"/>
      <c r="SBM28"/>
      <c r="SBN28"/>
      <c r="SBO28"/>
      <c r="SBP28"/>
      <c r="SBQ28"/>
      <c r="SBR28"/>
      <c r="SBS28"/>
      <c r="SBT28"/>
      <c r="SBU28"/>
      <c r="SBV28"/>
      <c r="SBW28"/>
      <c r="SBX28"/>
      <c r="SBY28"/>
      <c r="SBZ28"/>
      <c r="SCA28"/>
      <c r="SCB28"/>
      <c r="SCC28"/>
      <c r="SCD28"/>
      <c r="SCE28"/>
      <c r="SCF28"/>
      <c r="SCG28"/>
      <c r="SCH28"/>
      <c r="SCI28"/>
      <c r="SCJ28"/>
      <c r="SCK28"/>
      <c r="SCL28"/>
      <c r="SCM28"/>
      <c r="SCN28"/>
      <c r="SCO28"/>
      <c r="SCP28"/>
      <c r="SCQ28"/>
      <c r="SCR28"/>
      <c r="SCS28"/>
      <c r="SCT28"/>
      <c r="SCU28"/>
      <c r="SCV28"/>
      <c r="SCW28"/>
      <c r="SCX28"/>
      <c r="SCY28"/>
      <c r="SCZ28"/>
      <c r="SDA28"/>
      <c r="SDB28"/>
      <c r="SDC28"/>
      <c r="SDD28"/>
      <c r="SDE28"/>
      <c r="SDF28"/>
      <c r="SDG28"/>
      <c r="SDH28"/>
      <c r="SDI28"/>
      <c r="SDJ28"/>
      <c r="SDK28"/>
      <c r="SDL28"/>
      <c r="SDM28"/>
      <c r="SDN28"/>
      <c r="SDO28"/>
      <c r="SDP28"/>
      <c r="SDQ28"/>
      <c r="SDR28"/>
      <c r="SDS28"/>
      <c r="SDT28"/>
      <c r="SDU28"/>
      <c r="SDV28"/>
      <c r="SDW28"/>
      <c r="SDX28"/>
      <c r="SDY28"/>
      <c r="SDZ28"/>
      <c r="SEA28"/>
      <c r="SEB28"/>
      <c r="SEC28"/>
      <c r="SED28"/>
      <c r="SEE28"/>
      <c r="SEF28"/>
      <c r="SEG28"/>
      <c r="SEH28"/>
      <c r="SEI28"/>
      <c r="SEJ28"/>
      <c r="SEK28"/>
      <c r="SEL28"/>
      <c r="SEM28"/>
      <c r="SEN28"/>
      <c r="SEO28"/>
      <c r="SEP28"/>
      <c r="SEQ28"/>
      <c r="SER28"/>
      <c r="SES28"/>
      <c r="SET28"/>
      <c r="SEU28"/>
      <c r="SEV28"/>
      <c r="SEW28"/>
      <c r="SEX28"/>
      <c r="SEY28"/>
      <c r="SEZ28"/>
      <c r="SFA28"/>
      <c r="SFB28"/>
      <c r="SFC28"/>
      <c r="SFD28"/>
      <c r="SFE28"/>
      <c r="SFF28"/>
      <c r="SFG28"/>
      <c r="SFH28"/>
      <c r="SFI28"/>
      <c r="SFJ28"/>
      <c r="SFK28"/>
      <c r="SFL28"/>
      <c r="SFM28"/>
      <c r="SFN28"/>
      <c r="SFO28"/>
      <c r="SFP28"/>
      <c r="SFQ28"/>
      <c r="SFR28"/>
      <c r="SFS28"/>
      <c r="SFT28"/>
      <c r="SFU28"/>
      <c r="SFV28"/>
      <c r="SFW28"/>
      <c r="SFX28"/>
      <c r="SFY28"/>
      <c r="SFZ28"/>
      <c r="SGA28"/>
      <c r="SGB28"/>
      <c r="SGC28"/>
      <c r="SGD28"/>
      <c r="SGE28"/>
      <c r="SGF28"/>
      <c r="SGG28"/>
      <c r="SGH28"/>
      <c r="SGI28"/>
      <c r="SGJ28"/>
      <c r="SGK28"/>
      <c r="SGL28"/>
      <c r="SGM28"/>
      <c r="SGN28"/>
      <c r="SGO28"/>
      <c r="SGP28"/>
      <c r="SGQ28"/>
      <c r="SGR28"/>
      <c r="SGS28"/>
      <c r="SGT28"/>
      <c r="SGU28"/>
      <c r="SGV28"/>
      <c r="SGW28"/>
      <c r="SGX28"/>
      <c r="SGY28"/>
      <c r="SGZ28"/>
      <c r="SHA28"/>
      <c r="SHB28"/>
      <c r="SHC28"/>
      <c r="SHD28"/>
      <c r="SHE28"/>
      <c r="SHF28"/>
      <c r="SHG28"/>
      <c r="SHH28"/>
      <c r="SHI28"/>
      <c r="SHJ28"/>
      <c r="SHK28"/>
      <c r="SHL28"/>
      <c r="SHM28"/>
      <c r="SHN28"/>
      <c r="SHO28"/>
      <c r="SHP28"/>
      <c r="SHQ28"/>
      <c r="SHR28"/>
      <c r="SHS28"/>
      <c r="SHT28"/>
      <c r="SHU28"/>
      <c r="SHV28"/>
      <c r="SHW28"/>
      <c r="SHX28"/>
      <c r="SHY28"/>
      <c r="SHZ28"/>
      <c r="SIA28"/>
      <c r="SIB28"/>
      <c r="SIC28"/>
      <c r="SID28"/>
      <c r="SIE28"/>
      <c r="SIF28"/>
      <c r="SIG28"/>
      <c r="SIH28"/>
      <c r="SII28"/>
      <c r="SIJ28"/>
      <c r="SIK28"/>
      <c r="SIL28"/>
      <c r="SIM28"/>
      <c r="SIN28"/>
      <c r="SIO28"/>
      <c r="SIP28"/>
      <c r="SIQ28"/>
      <c r="SIR28"/>
      <c r="SIS28"/>
      <c r="SIT28"/>
      <c r="SIU28"/>
      <c r="SIV28"/>
      <c r="SIW28"/>
      <c r="SIX28"/>
      <c r="SIY28"/>
      <c r="SIZ28"/>
      <c r="SJA28"/>
      <c r="SJB28"/>
      <c r="SJC28"/>
      <c r="SJD28"/>
      <c r="SJE28"/>
      <c r="SJF28"/>
      <c r="SJG28"/>
      <c r="SJH28"/>
      <c r="SJI28"/>
      <c r="SJJ28"/>
      <c r="SJK28"/>
      <c r="SJL28"/>
      <c r="SJM28"/>
      <c r="SJN28"/>
      <c r="SJO28"/>
      <c r="SJP28"/>
      <c r="SJQ28"/>
      <c r="SJR28"/>
      <c r="SJS28"/>
      <c r="SJT28"/>
      <c r="SJU28"/>
      <c r="SJV28"/>
      <c r="SJW28"/>
      <c r="SJX28"/>
      <c r="SJY28"/>
      <c r="SJZ28"/>
      <c r="SKA28"/>
      <c r="SKB28"/>
      <c r="SKC28"/>
      <c r="SKD28"/>
      <c r="SKE28"/>
      <c r="SKF28"/>
      <c r="SKG28"/>
      <c r="SKH28"/>
      <c r="SKI28"/>
      <c r="SKJ28"/>
      <c r="SKK28"/>
      <c r="SKL28"/>
      <c r="SKM28"/>
      <c r="SKN28"/>
      <c r="SKO28"/>
      <c r="SKP28"/>
      <c r="SKQ28"/>
      <c r="SKR28"/>
      <c r="SKS28"/>
      <c r="SKT28"/>
      <c r="SKU28"/>
      <c r="SKV28"/>
      <c r="SKW28"/>
      <c r="SKX28"/>
      <c r="SKY28"/>
      <c r="SKZ28"/>
      <c r="SLA28"/>
      <c r="SLB28"/>
      <c r="SLC28"/>
      <c r="SLD28"/>
      <c r="SLE28"/>
      <c r="SLF28"/>
      <c r="SLG28"/>
      <c r="SLH28"/>
      <c r="SLI28"/>
      <c r="SLJ28"/>
      <c r="SLK28"/>
      <c r="SLL28"/>
      <c r="SLM28"/>
      <c r="SLN28"/>
      <c r="SLO28"/>
      <c r="SLP28"/>
      <c r="SLQ28"/>
      <c r="SLR28"/>
      <c r="SLS28"/>
      <c r="SLT28"/>
      <c r="SLU28"/>
      <c r="SLV28"/>
      <c r="SLW28"/>
      <c r="SLX28"/>
      <c r="SLY28"/>
      <c r="SLZ28"/>
      <c r="SMA28"/>
      <c r="SMB28"/>
      <c r="SMC28"/>
      <c r="SMD28"/>
      <c r="SME28"/>
      <c r="SMF28"/>
      <c r="SMG28"/>
      <c r="SMH28"/>
      <c r="SMI28"/>
      <c r="SMJ28"/>
      <c r="SMK28"/>
      <c r="SML28"/>
      <c r="SMM28"/>
      <c r="SMN28"/>
      <c r="SMO28"/>
      <c r="SMP28"/>
      <c r="SMQ28"/>
      <c r="SMR28"/>
      <c r="SMS28"/>
      <c r="SMT28"/>
      <c r="SMU28"/>
      <c r="SMV28"/>
      <c r="SMW28"/>
      <c r="SMX28"/>
      <c r="SMY28"/>
      <c r="SMZ28"/>
      <c r="SNA28"/>
      <c r="SNB28"/>
      <c r="SNC28"/>
      <c r="SND28"/>
      <c r="SNE28"/>
      <c r="SNF28"/>
      <c r="SNG28"/>
      <c r="SNH28"/>
      <c r="SNI28"/>
      <c r="SNJ28"/>
      <c r="SNK28"/>
      <c r="SNL28"/>
      <c r="SNM28"/>
      <c r="SNN28"/>
      <c r="SNO28"/>
      <c r="SNP28"/>
      <c r="SNQ28"/>
      <c r="SNR28"/>
      <c r="SNS28"/>
      <c r="SNT28"/>
      <c r="SNU28"/>
      <c r="SNV28"/>
      <c r="SNW28"/>
      <c r="SNX28"/>
      <c r="SNY28"/>
      <c r="SNZ28"/>
      <c r="SOA28"/>
      <c r="SOB28"/>
      <c r="SOC28"/>
      <c r="SOD28"/>
      <c r="SOE28"/>
      <c r="SOF28"/>
      <c r="SOG28"/>
      <c r="SOH28"/>
      <c r="SOI28"/>
      <c r="SOJ28"/>
      <c r="SOK28"/>
      <c r="SOL28"/>
      <c r="SOM28"/>
      <c r="SON28"/>
      <c r="SOO28"/>
      <c r="SOP28"/>
      <c r="SOQ28"/>
      <c r="SOR28"/>
      <c r="SOS28"/>
      <c r="SOT28"/>
      <c r="SOU28"/>
      <c r="SOV28"/>
      <c r="SOW28"/>
      <c r="SOX28"/>
      <c r="SOY28"/>
      <c r="SOZ28"/>
      <c r="SPA28"/>
      <c r="SPB28"/>
      <c r="SPC28"/>
      <c r="SPD28"/>
      <c r="SPE28"/>
      <c r="SPF28"/>
      <c r="SPG28"/>
      <c r="SPH28"/>
      <c r="SPI28"/>
      <c r="SPJ28"/>
      <c r="SPK28"/>
      <c r="SPL28"/>
      <c r="SPM28"/>
      <c r="SPN28"/>
      <c r="SPO28"/>
      <c r="SPP28"/>
      <c r="SPQ28"/>
      <c r="SPR28"/>
      <c r="SPS28"/>
      <c r="SPT28"/>
      <c r="SPU28"/>
      <c r="SPV28"/>
      <c r="SPW28"/>
      <c r="SPX28"/>
      <c r="SPY28"/>
      <c r="SPZ28"/>
      <c r="SQA28"/>
      <c r="SQB28"/>
      <c r="SQC28"/>
      <c r="SQD28"/>
      <c r="SQE28"/>
      <c r="SQF28"/>
      <c r="SQG28"/>
      <c r="SQH28"/>
      <c r="SQI28"/>
      <c r="SQJ28"/>
      <c r="SQK28"/>
      <c r="SQL28"/>
      <c r="SQM28"/>
      <c r="SQN28"/>
      <c r="SQO28"/>
      <c r="SQP28"/>
      <c r="SQQ28"/>
      <c r="SQR28"/>
      <c r="SQS28"/>
      <c r="SQT28"/>
      <c r="SQU28"/>
      <c r="SQV28"/>
      <c r="SQW28"/>
      <c r="SQX28"/>
      <c r="SQY28"/>
      <c r="SQZ28"/>
      <c r="SRA28"/>
      <c r="SRB28"/>
      <c r="SRC28"/>
      <c r="SRD28"/>
      <c r="SRE28"/>
      <c r="SRF28"/>
      <c r="SRG28"/>
      <c r="SRH28"/>
      <c r="SRI28"/>
      <c r="SRJ28"/>
      <c r="SRK28"/>
      <c r="SRL28"/>
      <c r="SRM28"/>
      <c r="SRN28"/>
      <c r="SRO28"/>
      <c r="SRP28"/>
      <c r="SRQ28"/>
      <c r="SRR28"/>
      <c r="SRS28"/>
      <c r="SRT28"/>
      <c r="SRU28"/>
      <c r="SRV28"/>
      <c r="SRW28"/>
      <c r="SRX28"/>
      <c r="SRY28"/>
      <c r="SRZ28"/>
      <c r="SSA28"/>
      <c r="SSB28"/>
      <c r="SSC28"/>
      <c r="SSD28"/>
      <c r="SSE28"/>
      <c r="SSF28"/>
      <c r="SSG28"/>
      <c r="SSH28"/>
      <c r="SSI28"/>
      <c r="SSJ28"/>
      <c r="SSK28"/>
      <c r="SSL28"/>
      <c r="SSM28"/>
      <c r="SSN28"/>
      <c r="SSO28"/>
      <c r="SSP28"/>
      <c r="SSQ28"/>
      <c r="SSR28"/>
      <c r="SSS28"/>
      <c r="SST28"/>
      <c r="SSU28"/>
      <c r="SSV28"/>
      <c r="SSW28"/>
      <c r="SSX28"/>
      <c r="SSY28"/>
      <c r="SSZ28"/>
      <c r="STA28"/>
      <c r="STB28"/>
      <c r="STC28"/>
      <c r="STD28"/>
      <c r="STE28"/>
      <c r="STF28"/>
      <c r="STG28"/>
      <c r="STH28"/>
      <c r="STI28"/>
      <c r="STJ28"/>
      <c r="STK28"/>
      <c r="STL28"/>
      <c r="STM28"/>
      <c r="STN28"/>
      <c r="STO28"/>
      <c r="STP28"/>
      <c r="STQ28"/>
      <c r="STR28"/>
      <c r="STS28"/>
      <c r="STT28"/>
      <c r="STU28"/>
      <c r="STV28"/>
      <c r="STW28"/>
      <c r="STX28"/>
      <c r="STY28"/>
      <c r="STZ28"/>
      <c r="SUA28"/>
      <c r="SUB28"/>
      <c r="SUC28"/>
      <c r="SUD28"/>
      <c r="SUE28"/>
      <c r="SUF28"/>
      <c r="SUG28"/>
      <c r="SUH28"/>
      <c r="SUI28"/>
      <c r="SUJ28"/>
      <c r="SUK28"/>
      <c r="SUL28"/>
      <c r="SUM28"/>
      <c r="SUN28"/>
      <c r="SUO28"/>
      <c r="SUP28"/>
      <c r="SUQ28"/>
      <c r="SUR28"/>
      <c r="SUS28"/>
      <c r="SUT28"/>
      <c r="SUU28"/>
      <c r="SUV28"/>
      <c r="SUW28"/>
      <c r="SUX28"/>
      <c r="SUY28"/>
      <c r="SUZ28"/>
      <c r="SVA28"/>
      <c r="SVB28"/>
      <c r="SVC28"/>
      <c r="SVD28"/>
      <c r="SVE28"/>
      <c r="SVF28"/>
      <c r="SVG28"/>
      <c r="SVH28"/>
      <c r="SVI28"/>
      <c r="SVJ28"/>
      <c r="SVK28"/>
      <c r="SVL28"/>
      <c r="SVM28"/>
      <c r="SVN28"/>
      <c r="SVO28"/>
      <c r="SVP28"/>
      <c r="SVQ28"/>
      <c r="SVR28"/>
      <c r="SVS28"/>
      <c r="SVT28"/>
      <c r="SVU28"/>
      <c r="SVV28"/>
      <c r="SVW28"/>
      <c r="SVX28"/>
      <c r="SVY28"/>
      <c r="SVZ28"/>
      <c r="SWA28"/>
      <c r="SWB28"/>
      <c r="SWC28"/>
      <c r="SWD28"/>
      <c r="SWE28"/>
      <c r="SWF28"/>
      <c r="SWG28"/>
      <c r="SWH28"/>
      <c r="SWI28"/>
      <c r="SWJ28"/>
      <c r="SWK28"/>
      <c r="SWL28"/>
      <c r="SWM28"/>
      <c r="SWN28"/>
      <c r="SWO28"/>
      <c r="SWP28"/>
      <c r="SWQ28"/>
      <c r="SWR28"/>
      <c r="SWS28"/>
      <c r="SWT28"/>
      <c r="SWU28"/>
      <c r="SWV28"/>
      <c r="SWW28"/>
      <c r="SWX28"/>
      <c r="SWY28"/>
      <c r="SWZ28"/>
      <c r="SXA28"/>
      <c r="SXB28"/>
      <c r="SXC28"/>
      <c r="SXD28"/>
      <c r="SXE28"/>
      <c r="SXF28"/>
      <c r="SXG28"/>
      <c r="SXH28"/>
      <c r="SXI28"/>
      <c r="SXJ28"/>
      <c r="SXK28"/>
      <c r="SXL28"/>
      <c r="SXM28"/>
      <c r="SXN28"/>
      <c r="SXO28"/>
      <c r="SXP28"/>
      <c r="SXQ28"/>
      <c r="SXR28"/>
      <c r="SXS28"/>
      <c r="SXT28"/>
      <c r="SXU28"/>
      <c r="SXV28"/>
      <c r="SXW28"/>
      <c r="SXX28"/>
      <c r="SXY28"/>
      <c r="SXZ28"/>
      <c r="SYA28"/>
      <c r="SYB28"/>
      <c r="SYC28"/>
      <c r="SYD28"/>
      <c r="SYE28"/>
      <c r="SYF28"/>
      <c r="SYG28"/>
      <c r="SYH28"/>
      <c r="SYI28"/>
      <c r="SYJ28"/>
      <c r="SYK28"/>
      <c r="SYL28"/>
      <c r="SYM28"/>
      <c r="SYN28"/>
      <c r="SYO28"/>
      <c r="SYP28"/>
      <c r="SYQ28"/>
      <c r="SYR28"/>
      <c r="SYS28"/>
      <c r="SYT28"/>
      <c r="SYU28"/>
      <c r="SYV28"/>
      <c r="SYW28"/>
      <c r="SYX28"/>
      <c r="SYY28"/>
      <c r="SYZ28"/>
      <c r="SZA28"/>
      <c r="SZB28"/>
      <c r="SZC28"/>
      <c r="SZD28"/>
      <c r="SZE28"/>
      <c r="SZF28"/>
      <c r="SZG28"/>
      <c r="SZH28"/>
      <c r="SZI28"/>
      <c r="SZJ28"/>
      <c r="SZK28"/>
      <c r="SZL28"/>
      <c r="SZM28"/>
      <c r="SZN28"/>
      <c r="SZO28"/>
      <c r="SZP28"/>
      <c r="SZQ28"/>
      <c r="SZR28"/>
      <c r="SZS28"/>
      <c r="SZT28"/>
      <c r="SZU28"/>
      <c r="SZV28"/>
      <c r="SZW28"/>
      <c r="SZX28"/>
      <c r="SZY28"/>
      <c r="SZZ28"/>
      <c r="TAA28"/>
      <c r="TAB28"/>
      <c r="TAC28"/>
      <c r="TAD28"/>
      <c r="TAE28"/>
      <c r="TAF28"/>
      <c r="TAG28"/>
      <c r="TAH28"/>
      <c r="TAI28"/>
      <c r="TAJ28"/>
      <c r="TAK28"/>
      <c r="TAL28"/>
      <c r="TAM28"/>
      <c r="TAN28"/>
      <c r="TAO28"/>
      <c r="TAP28"/>
      <c r="TAQ28"/>
      <c r="TAR28"/>
      <c r="TAS28"/>
      <c r="TAT28"/>
      <c r="TAU28"/>
      <c r="TAV28"/>
      <c r="TAW28"/>
      <c r="TAX28"/>
      <c r="TAY28"/>
      <c r="TAZ28"/>
      <c r="TBA28"/>
      <c r="TBB28"/>
      <c r="TBC28"/>
      <c r="TBD28"/>
      <c r="TBE28"/>
      <c r="TBF28"/>
      <c r="TBG28"/>
      <c r="TBH28"/>
      <c r="TBI28"/>
      <c r="TBJ28"/>
      <c r="TBK28"/>
      <c r="TBL28"/>
      <c r="TBM28"/>
      <c r="TBN28"/>
      <c r="TBO28"/>
      <c r="TBP28"/>
      <c r="TBQ28"/>
      <c r="TBR28"/>
      <c r="TBS28"/>
      <c r="TBT28"/>
      <c r="TBU28"/>
      <c r="TBV28"/>
      <c r="TBW28"/>
      <c r="TBX28"/>
      <c r="TBY28"/>
      <c r="TBZ28"/>
      <c r="TCA28"/>
      <c r="TCB28"/>
      <c r="TCC28"/>
      <c r="TCD28"/>
      <c r="TCE28"/>
      <c r="TCF28"/>
      <c r="TCG28"/>
      <c r="TCH28"/>
      <c r="TCI28"/>
      <c r="TCJ28"/>
      <c r="TCK28"/>
      <c r="TCL28"/>
      <c r="TCM28"/>
      <c r="TCN28"/>
      <c r="TCO28"/>
      <c r="TCP28"/>
      <c r="TCQ28"/>
      <c r="TCR28"/>
      <c r="TCS28"/>
      <c r="TCT28"/>
      <c r="TCU28"/>
      <c r="TCV28"/>
      <c r="TCW28"/>
      <c r="TCX28"/>
      <c r="TCY28"/>
      <c r="TCZ28"/>
      <c r="TDA28"/>
      <c r="TDB28"/>
      <c r="TDC28"/>
      <c r="TDD28"/>
      <c r="TDE28"/>
      <c r="TDF28"/>
      <c r="TDG28"/>
      <c r="TDH28"/>
      <c r="TDI28"/>
      <c r="TDJ28"/>
      <c r="TDK28"/>
      <c r="TDL28"/>
      <c r="TDM28"/>
      <c r="TDN28"/>
      <c r="TDO28"/>
      <c r="TDP28"/>
      <c r="TDQ28"/>
      <c r="TDR28"/>
      <c r="TDS28"/>
      <c r="TDT28"/>
      <c r="TDU28"/>
      <c r="TDV28"/>
      <c r="TDW28"/>
      <c r="TDX28"/>
      <c r="TDY28"/>
      <c r="TDZ28"/>
      <c r="TEA28"/>
      <c r="TEB28"/>
      <c r="TEC28"/>
      <c r="TED28"/>
      <c r="TEE28"/>
      <c r="TEF28"/>
      <c r="TEG28"/>
      <c r="TEH28"/>
      <c r="TEI28"/>
      <c r="TEJ28"/>
      <c r="TEK28"/>
      <c r="TEL28"/>
      <c r="TEM28"/>
      <c r="TEN28"/>
      <c r="TEO28"/>
      <c r="TEP28"/>
      <c r="TEQ28"/>
      <c r="TER28"/>
      <c r="TES28"/>
      <c r="TET28"/>
      <c r="TEU28"/>
      <c r="TEV28"/>
      <c r="TEW28"/>
      <c r="TEX28"/>
      <c r="TEY28"/>
      <c r="TEZ28"/>
      <c r="TFA28"/>
      <c r="TFB28"/>
      <c r="TFC28"/>
      <c r="TFD28"/>
      <c r="TFE28"/>
      <c r="TFF28"/>
      <c r="TFG28"/>
      <c r="TFH28"/>
      <c r="TFI28"/>
      <c r="TFJ28"/>
      <c r="TFK28"/>
      <c r="TFL28"/>
      <c r="TFM28"/>
      <c r="TFN28"/>
      <c r="TFO28"/>
      <c r="TFP28"/>
      <c r="TFQ28"/>
      <c r="TFR28"/>
      <c r="TFS28"/>
      <c r="TFT28"/>
      <c r="TFU28"/>
      <c r="TFV28"/>
      <c r="TFW28"/>
      <c r="TFX28"/>
      <c r="TFY28"/>
      <c r="TFZ28"/>
      <c r="TGA28"/>
      <c r="TGB28"/>
      <c r="TGC28"/>
      <c r="TGD28"/>
      <c r="TGE28"/>
      <c r="TGF28"/>
      <c r="TGG28"/>
      <c r="TGH28"/>
      <c r="TGI28"/>
      <c r="TGJ28"/>
      <c r="TGK28"/>
      <c r="TGL28"/>
      <c r="TGM28"/>
      <c r="TGN28"/>
      <c r="TGO28"/>
      <c r="TGP28"/>
      <c r="TGQ28"/>
      <c r="TGR28"/>
      <c r="TGS28"/>
      <c r="TGT28"/>
      <c r="TGU28"/>
      <c r="TGV28"/>
      <c r="TGW28"/>
      <c r="TGX28"/>
      <c r="TGY28"/>
      <c r="TGZ28"/>
      <c r="THA28"/>
      <c r="THB28"/>
      <c r="THC28"/>
      <c r="THD28"/>
      <c r="THE28"/>
      <c r="THF28"/>
      <c r="THG28"/>
      <c r="THH28"/>
      <c r="THI28"/>
      <c r="THJ28"/>
      <c r="THK28"/>
      <c r="THL28"/>
      <c r="THM28"/>
      <c r="THN28"/>
      <c r="THO28"/>
      <c r="THP28"/>
      <c r="THQ28"/>
      <c r="THR28"/>
      <c r="THS28"/>
      <c r="THT28"/>
      <c r="THU28"/>
      <c r="THV28"/>
      <c r="THW28"/>
      <c r="THX28"/>
      <c r="THY28"/>
      <c r="THZ28"/>
      <c r="TIA28"/>
      <c r="TIB28"/>
      <c r="TIC28"/>
      <c r="TID28"/>
      <c r="TIE28"/>
      <c r="TIF28"/>
      <c r="TIG28"/>
      <c r="TIH28"/>
      <c r="TII28"/>
      <c r="TIJ28"/>
      <c r="TIK28"/>
      <c r="TIL28"/>
      <c r="TIM28"/>
      <c r="TIN28"/>
      <c r="TIO28"/>
      <c r="TIP28"/>
      <c r="TIQ28"/>
      <c r="TIR28"/>
      <c r="TIS28"/>
      <c r="TIT28"/>
      <c r="TIU28"/>
      <c r="TIV28"/>
      <c r="TIW28"/>
      <c r="TIX28"/>
      <c r="TIY28"/>
      <c r="TIZ28"/>
      <c r="TJA28"/>
      <c r="TJB28"/>
      <c r="TJC28"/>
      <c r="TJD28"/>
      <c r="TJE28"/>
      <c r="TJF28"/>
      <c r="TJG28"/>
      <c r="TJH28"/>
      <c r="TJI28"/>
      <c r="TJJ28"/>
      <c r="TJK28"/>
      <c r="TJL28"/>
      <c r="TJM28"/>
      <c r="TJN28"/>
      <c r="TJO28"/>
      <c r="TJP28"/>
      <c r="TJQ28"/>
      <c r="TJR28"/>
      <c r="TJS28"/>
      <c r="TJT28"/>
      <c r="TJU28"/>
      <c r="TJV28"/>
      <c r="TJW28"/>
      <c r="TJX28"/>
      <c r="TJY28"/>
      <c r="TJZ28"/>
      <c r="TKA28"/>
      <c r="TKB28"/>
      <c r="TKC28"/>
      <c r="TKD28"/>
      <c r="TKE28"/>
      <c r="TKF28"/>
      <c r="TKG28"/>
      <c r="TKH28"/>
      <c r="TKI28"/>
      <c r="TKJ28"/>
      <c r="TKK28"/>
      <c r="TKL28"/>
      <c r="TKM28"/>
      <c r="TKN28"/>
      <c r="TKO28"/>
      <c r="TKP28"/>
      <c r="TKQ28"/>
      <c r="TKR28"/>
      <c r="TKS28"/>
      <c r="TKT28"/>
      <c r="TKU28"/>
      <c r="TKV28"/>
      <c r="TKW28"/>
      <c r="TKX28"/>
      <c r="TKY28"/>
      <c r="TKZ28"/>
      <c r="TLA28"/>
      <c r="TLB28"/>
      <c r="TLC28"/>
      <c r="TLD28"/>
      <c r="TLE28"/>
      <c r="TLF28"/>
      <c r="TLG28"/>
      <c r="TLH28"/>
      <c r="TLI28"/>
      <c r="TLJ28"/>
      <c r="TLK28"/>
      <c r="TLL28"/>
      <c r="TLM28"/>
      <c r="TLN28"/>
      <c r="TLO28"/>
      <c r="TLP28"/>
      <c r="TLQ28"/>
      <c r="TLR28"/>
      <c r="TLS28"/>
      <c r="TLT28"/>
      <c r="TLU28"/>
      <c r="TLV28"/>
      <c r="TLW28"/>
      <c r="TLX28"/>
      <c r="TLY28"/>
      <c r="TLZ28"/>
      <c r="TMA28"/>
      <c r="TMB28"/>
      <c r="TMC28"/>
      <c r="TMD28"/>
      <c r="TME28"/>
      <c r="TMF28"/>
      <c r="TMG28"/>
      <c r="TMH28"/>
      <c r="TMI28"/>
      <c r="TMJ28"/>
      <c r="TMK28"/>
      <c r="TML28"/>
      <c r="TMM28"/>
      <c r="TMN28"/>
      <c r="TMO28"/>
      <c r="TMP28"/>
      <c r="TMQ28"/>
      <c r="TMR28"/>
      <c r="TMS28"/>
      <c r="TMT28"/>
      <c r="TMU28"/>
      <c r="TMV28"/>
      <c r="TMW28"/>
      <c r="TMX28"/>
      <c r="TMY28"/>
      <c r="TMZ28"/>
      <c r="TNA28"/>
      <c r="TNB28"/>
      <c r="TNC28"/>
      <c r="TND28"/>
      <c r="TNE28"/>
      <c r="TNF28"/>
      <c r="TNG28"/>
      <c r="TNH28"/>
      <c r="TNI28"/>
      <c r="TNJ28"/>
      <c r="TNK28"/>
      <c r="TNL28"/>
      <c r="TNM28"/>
      <c r="TNN28"/>
      <c r="TNO28"/>
      <c r="TNP28"/>
      <c r="TNQ28"/>
      <c r="TNR28"/>
      <c r="TNS28"/>
      <c r="TNT28"/>
      <c r="TNU28"/>
      <c r="TNV28"/>
      <c r="TNW28"/>
      <c r="TNX28"/>
      <c r="TNY28"/>
      <c r="TNZ28"/>
      <c r="TOA28"/>
      <c r="TOB28"/>
      <c r="TOC28"/>
      <c r="TOD28"/>
      <c r="TOE28"/>
      <c r="TOF28"/>
      <c r="TOG28"/>
      <c r="TOH28"/>
      <c r="TOI28"/>
      <c r="TOJ28"/>
      <c r="TOK28"/>
      <c r="TOL28"/>
      <c r="TOM28"/>
      <c r="TON28"/>
      <c r="TOO28"/>
      <c r="TOP28"/>
      <c r="TOQ28"/>
      <c r="TOR28"/>
      <c r="TOS28"/>
      <c r="TOT28"/>
      <c r="TOU28"/>
      <c r="TOV28"/>
      <c r="TOW28"/>
      <c r="TOX28"/>
      <c r="TOY28"/>
      <c r="TOZ28"/>
      <c r="TPA28"/>
      <c r="TPB28"/>
      <c r="TPC28"/>
      <c r="TPD28"/>
      <c r="TPE28"/>
      <c r="TPF28"/>
      <c r="TPG28"/>
      <c r="TPH28"/>
      <c r="TPI28"/>
      <c r="TPJ28"/>
      <c r="TPK28"/>
      <c r="TPL28"/>
      <c r="TPM28"/>
      <c r="TPN28"/>
      <c r="TPO28"/>
      <c r="TPP28"/>
      <c r="TPQ28"/>
      <c r="TPR28"/>
      <c r="TPS28"/>
      <c r="TPT28"/>
      <c r="TPU28"/>
      <c r="TPV28"/>
      <c r="TPW28"/>
      <c r="TPX28"/>
      <c r="TPY28"/>
      <c r="TPZ28"/>
      <c r="TQA28"/>
      <c r="TQB28"/>
      <c r="TQC28"/>
      <c r="TQD28"/>
      <c r="TQE28"/>
      <c r="TQF28"/>
      <c r="TQG28"/>
      <c r="TQH28"/>
      <c r="TQI28"/>
      <c r="TQJ28"/>
      <c r="TQK28"/>
      <c r="TQL28"/>
      <c r="TQM28"/>
      <c r="TQN28"/>
      <c r="TQO28"/>
      <c r="TQP28"/>
      <c r="TQQ28"/>
      <c r="TQR28"/>
      <c r="TQS28"/>
      <c r="TQT28"/>
      <c r="TQU28"/>
      <c r="TQV28"/>
      <c r="TQW28"/>
      <c r="TQX28"/>
      <c r="TQY28"/>
      <c r="TQZ28"/>
      <c r="TRA28"/>
      <c r="TRB28"/>
      <c r="TRC28"/>
      <c r="TRD28"/>
      <c r="TRE28"/>
      <c r="TRF28"/>
      <c r="TRG28"/>
      <c r="TRH28"/>
      <c r="TRI28"/>
      <c r="TRJ28"/>
      <c r="TRK28"/>
      <c r="TRL28"/>
      <c r="TRM28"/>
      <c r="TRN28"/>
      <c r="TRO28"/>
      <c r="TRP28"/>
      <c r="TRQ28"/>
      <c r="TRR28"/>
      <c r="TRS28"/>
      <c r="TRT28"/>
      <c r="TRU28"/>
      <c r="TRV28"/>
      <c r="TRW28"/>
      <c r="TRX28"/>
      <c r="TRY28"/>
      <c r="TRZ28"/>
      <c r="TSA28"/>
      <c r="TSB28"/>
      <c r="TSC28"/>
      <c r="TSD28"/>
      <c r="TSE28"/>
      <c r="TSF28"/>
      <c r="TSG28"/>
      <c r="TSH28"/>
      <c r="TSI28"/>
      <c r="TSJ28"/>
      <c r="TSK28"/>
      <c r="TSL28"/>
      <c r="TSM28"/>
      <c r="TSN28"/>
      <c r="TSO28"/>
      <c r="TSP28"/>
      <c r="TSQ28"/>
      <c r="TSR28"/>
      <c r="TSS28"/>
      <c r="TST28"/>
      <c r="TSU28"/>
      <c r="TSV28"/>
      <c r="TSW28"/>
      <c r="TSX28"/>
      <c r="TSY28"/>
      <c r="TSZ28"/>
      <c r="TTA28"/>
      <c r="TTB28"/>
      <c r="TTC28"/>
      <c r="TTD28"/>
      <c r="TTE28"/>
      <c r="TTF28"/>
      <c r="TTG28"/>
      <c r="TTH28"/>
      <c r="TTI28"/>
      <c r="TTJ28"/>
      <c r="TTK28"/>
      <c r="TTL28"/>
      <c r="TTM28"/>
      <c r="TTN28"/>
      <c r="TTO28"/>
      <c r="TTP28"/>
      <c r="TTQ28"/>
      <c r="TTR28"/>
      <c r="TTS28"/>
      <c r="TTT28"/>
      <c r="TTU28"/>
      <c r="TTV28"/>
      <c r="TTW28"/>
      <c r="TTX28"/>
      <c r="TTY28"/>
      <c r="TTZ28"/>
      <c r="TUA28"/>
      <c r="TUB28"/>
      <c r="TUC28"/>
      <c r="TUD28"/>
      <c r="TUE28"/>
      <c r="TUF28"/>
      <c r="TUG28"/>
      <c r="TUH28"/>
      <c r="TUI28"/>
      <c r="TUJ28"/>
      <c r="TUK28"/>
      <c r="TUL28"/>
      <c r="TUM28"/>
      <c r="TUN28"/>
      <c r="TUO28"/>
      <c r="TUP28"/>
      <c r="TUQ28"/>
      <c r="TUR28"/>
      <c r="TUS28"/>
      <c r="TUT28"/>
      <c r="TUU28"/>
      <c r="TUV28"/>
      <c r="TUW28"/>
      <c r="TUX28"/>
      <c r="TUY28"/>
      <c r="TUZ28"/>
      <c r="TVA28"/>
      <c r="TVB28"/>
      <c r="TVC28"/>
      <c r="TVD28"/>
      <c r="TVE28"/>
      <c r="TVF28"/>
      <c r="TVG28"/>
      <c r="TVH28"/>
      <c r="TVI28"/>
      <c r="TVJ28"/>
      <c r="TVK28"/>
      <c r="TVL28"/>
      <c r="TVM28"/>
      <c r="TVN28"/>
      <c r="TVO28"/>
      <c r="TVP28"/>
      <c r="TVQ28"/>
      <c r="TVR28"/>
      <c r="TVS28"/>
      <c r="TVT28"/>
      <c r="TVU28"/>
      <c r="TVV28"/>
      <c r="TVW28"/>
      <c r="TVX28"/>
      <c r="TVY28"/>
      <c r="TVZ28"/>
      <c r="TWA28"/>
      <c r="TWB28"/>
      <c r="TWC28"/>
      <c r="TWD28"/>
      <c r="TWE28"/>
      <c r="TWF28"/>
      <c r="TWG28"/>
      <c r="TWH28"/>
      <c r="TWI28"/>
      <c r="TWJ28"/>
      <c r="TWK28"/>
      <c r="TWL28"/>
      <c r="TWM28"/>
      <c r="TWN28"/>
      <c r="TWO28"/>
      <c r="TWP28"/>
      <c r="TWQ28"/>
      <c r="TWR28"/>
      <c r="TWS28"/>
      <c r="TWT28"/>
      <c r="TWU28"/>
      <c r="TWV28"/>
      <c r="TWW28"/>
      <c r="TWX28"/>
      <c r="TWY28"/>
      <c r="TWZ28"/>
      <c r="TXA28"/>
      <c r="TXB28"/>
      <c r="TXC28"/>
      <c r="TXD28"/>
      <c r="TXE28"/>
      <c r="TXF28"/>
      <c r="TXG28"/>
      <c r="TXH28"/>
      <c r="TXI28"/>
      <c r="TXJ28"/>
      <c r="TXK28"/>
      <c r="TXL28"/>
      <c r="TXM28"/>
      <c r="TXN28"/>
      <c r="TXO28"/>
      <c r="TXP28"/>
      <c r="TXQ28"/>
      <c r="TXR28"/>
      <c r="TXS28"/>
      <c r="TXT28"/>
      <c r="TXU28"/>
      <c r="TXV28"/>
      <c r="TXW28"/>
      <c r="TXX28"/>
      <c r="TXY28"/>
      <c r="TXZ28"/>
      <c r="TYA28"/>
      <c r="TYB28"/>
      <c r="TYC28"/>
      <c r="TYD28"/>
      <c r="TYE28"/>
      <c r="TYF28"/>
      <c r="TYG28"/>
      <c r="TYH28"/>
      <c r="TYI28"/>
      <c r="TYJ28"/>
      <c r="TYK28"/>
      <c r="TYL28"/>
      <c r="TYM28"/>
      <c r="TYN28"/>
      <c r="TYO28"/>
      <c r="TYP28"/>
      <c r="TYQ28"/>
      <c r="TYR28"/>
      <c r="TYS28"/>
      <c r="TYT28"/>
      <c r="TYU28"/>
      <c r="TYV28"/>
      <c r="TYW28"/>
      <c r="TYX28"/>
      <c r="TYY28"/>
      <c r="TYZ28"/>
      <c r="TZA28"/>
      <c r="TZB28"/>
      <c r="TZC28"/>
      <c r="TZD28"/>
      <c r="TZE28"/>
      <c r="TZF28"/>
      <c r="TZG28"/>
      <c r="TZH28"/>
      <c r="TZI28"/>
      <c r="TZJ28"/>
      <c r="TZK28"/>
      <c r="TZL28"/>
      <c r="TZM28"/>
      <c r="TZN28"/>
      <c r="TZO28"/>
      <c r="TZP28"/>
      <c r="TZQ28"/>
      <c r="TZR28"/>
      <c r="TZS28"/>
      <c r="TZT28"/>
      <c r="TZU28"/>
      <c r="TZV28"/>
      <c r="TZW28"/>
      <c r="TZX28"/>
      <c r="TZY28"/>
      <c r="TZZ28"/>
      <c r="UAA28"/>
      <c r="UAB28"/>
      <c r="UAC28"/>
      <c r="UAD28"/>
      <c r="UAE28"/>
      <c r="UAF28"/>
      <c r="UAG28"/>
      <c r="UAH28"/>
      <c r="UAI28"/>
      <c r="UAJ28"/>
      <c r="UAK28"/>
      <c r="UAL28"/>
      <c r="UAM28"/>
      <c r="UAN28"/>
      <c r="UAO28"/>
      <c r="UAP28"/>
      <c r="UAQ28"/>
      <c r="UAR28"/>
      <c r="UAS28"/>
      <c r="UAT28"/>
      <c r="UAU28"/>
      <c r="UAV28"/>
      <c r="UAW28"/>
      <c r="UAX28"/>
      <c r="UAY28"/>
      <c r="UAZ28"/>
      <c r="UBA28"/>
      <c r="UBB28"/>
      <c r="UBC28"/>
      <c r="UBD28"/>
      <c r="UBE28"/>
      <c r="UBF28"/>
      <c r="UBG28"/>
      <c r="UBH28"/>
      <c r="UBI28"/>
      <c r="UBJ28"/>
      <c r="UBK28"/>
      <c r="UBL28"/>
      <c r="UBM28"/>
      <c r="UBN28"/>
      <c r="UBO28"/>
      <c r="UBP28"/>
      <c r="UBQ28"/>
      <c r="UBR28"/>
      <c r="UBS28"/>
      <c r="UBT28"/>
      <c r="UBU28"/>
      <c r="UBV28"/>
      <c r="UBW28"/>
      <c r="UBX28"/>
      <c r="UBY28"/>
      <c r="UBZ28"/>
      <c r="UCA28"/>
      <c r="UCB28"/>
      <c r="UCC28"/>
      <c r="UCD28"/>
      <c r="UCE28"/>
      <c r="UCF28"/>
      <c r="UCG28"/>
      <c r="UCH28"/>
      <c r="UCI28"/>
      <c r="UCJ28"/>
      <c r="UCK28"/>
      <c r="UCL28"/>
      <c r="UCM28"/>
      <c r="UCN28"/>
      <c r="UCO28"/>
      <c r="UCP28"/>
      <c r="UCQ28"/>
      <c r="UCR28"/>
      <c r="UCS28"/>
      <c r="UCT28"/>
      <c r="UCU28"/>
      <c r="UCV28"/>
      <c r="UCW28"/>
      <c r="UCX28"/>
      <c r="UCY28"/>
      <c r="UCZ28"/>
      <c r="UDA28"/>
      <c r="UDB28"/>
      <c r="UDC28"/>
      <c r="UDD28"/>
      <c r="UDE28"/>
      <c r="UDF28"/>
      <c r="UDG28"/>
      <c r="UDH28"/>
      <c r="UDI28"/>
      <c r="UDJ28"/>
      <c r="UDK28"/>
      <c r="UDL28"/>
      <c r="UDM28"/>
      <c r="UDN28"/>
      <c r="UDO28"/>
      <c r="UDP28"/>
      <c r="UDQ28"/>
      <c r="UDR28"/>
      <c r="UDS28"/>
      <c r="UDT28"/>
      <c r="UDU28"/>
      <c r="UDV28"/>
      <c r="UDW28"/>
      <c r="UDX28"/>
      <c r="UDY28"/>
      <c r="UDZ28"/>
      <c r="UEA28"/>
      <c r="UEB28"/>
      <c r="UEC28"/>
      <c r="UED28"/>
      <c r="UEE28"/>
      <c r="UEF28"/>
      <c r="UEG28"/>
      <c r="UEH28"/>
      <c r="UEI28"/>
      <c r="UEJ28"/>
      <c r="UEK28"/>
      <c r="UEL28"/>
      <c r="UEM28"/>
      <c r="UEN28"/>
      <c r="UEO28"/>
      <c r="UEP28"/>
      <c r="UEQ28"/>
      <c r="UER28"/>
      <c r="UES28"/>
      <c r="UET28"/>
      <c r="UEU28"/>
      <c r="UEV28"/>
      <c r="UEW28"/>
      <c r="UEX28"/>
      <c r="UEY28"/>
      <c r="UEZ28"/>
      <c r="UFA28"/>
      <c r="UFB28"/>
      <c r="UFC28"/>
      <c r="UFD28"/>
      <c r="UFE28"/>
      <c r="UFF28"/>
      <c r="UFG28"/>
      <c r="UFH28"/>
      <c r="UFI28"/>
      <c r="UFJ28"/>
      <c r="UFK28"/>
      <c r="UFL28"/>
      <c r="UFM28"/>
      <c r="UFN28"/>
      <c r="UFO28"/>
      <c r="UFP28"/>
      <c r="UFQ28"/>
      <c r="UFR28"/>
      <c r="UFS28"/>
      <c r="UFT28"/>
      <c r="UFU28"/>
      <c r="UFV28"/>
      <c r="UFW28"/>
      <c r="UFX28"/>
      <c r="UFY28"/>
      <c r="UFZ28"/>
      <c r="UGA28"/>
      <c r="UGB28"/>
      <c r="UGC28"/>
      <c r="UGD28"/>
      <c r="UGE28"/>
      <c r="UGF28"/>
      <c r="UGG28"/>
      <c r="UGH28"/>
      <c r="UGI28"/>
      <c r="UGJ28"/>
      <c r="UGK28"/>
      <c r="UGL28"/>
      <c r="UGM28"/>
      <c r="UGN28"/>
      <c r="UGO28"/>
      <c r="UGP28"/>
      <c r="UGQ28"/>
      <c r="UGR28"/>
      <c r="UGS28"/>
      <c r="UGT28"/>
      <c r="UGU28"/>
      <c r="UGV28"/>
      <c r="UGW28"/>
      <c r="UGX28"/>
      <c r="UGY28"/>
      <c r="UGZ28"/>
      <c r="UHA28"/>
      <c r="UHB28"/>
      <c r="UHC28"/>
      <c r="UHD28"/>
      <c r="UHE28"/>
      <c r="UHF28"/>
      <c r="UHG28"/>
      <c r="UHH28"/>
      <c r="UHI28"/>
      <c r="UHJ28"/>
      <c r="UHK28"/>
      <c r="UHL28"/>
      <c r="UHM28"/>
      <c r="UHN28"/>
      <c r="UHO28"/>
      <c r="UHP28"/>
      <c r="UHQ28"/>
      <c r="UHR28"/>
      <c r="UHS28"/>
      <c r="UHT28"/>
      <c r="UHU28"/>
      <c r="UHV28"/>
      <c r="UHW28"/>
      <c r="UHX28"/>
      <c r="UHY28"/>
      <c r="UHZ28"/>
      <c r="UIA28"/>
      <c r="UIB28"/>
      <c r="UIC28"/>
      <c r="UID28"/>
      <c r="UIE28"/>
      <c r="UIF28"/>
      <c r="UIG28"/>
      <c r="UIH28"/>
      <c r="UII28"/>
      <c r="UIJ28"/>
      <c r="UIK28"/>
      <c r="UIL28"/>
      <c r="UIM28"/>
      <c r="UIN28"/>
      <c r="UIO28"/>
      <c r="UIP28"/>
      <c r="UIQ28"/>
      <c r="UIR28"/>
      <c r="UIS28"/>
      <c r="UIT28"/>
      <c r="UIU28"/>
      <c r="UIV28"/>
      <c r="UIW28"/>
      <c r="UIX28"/>
      <c r="UIY28"/>
      <c r="UIZ28"/>
      <c r="UJA28"/>
      <c r="UJB28"/>
      <c r="UJC28"/>
      <c r="UJD28"/>
      <c r="UJE28"/>
      <c r="UJF28"/>
      <c r="UJG28"/>
      <c r="UJH28"/>
      <c r="UJI28"/>
      <c r="UJJ28"/>
      <c r="UJK28"/>
      <c r="UJL28"/>
      <c r="UJM28"/>
      <c r="UJN28"/>
      <c r="UJO28"/>
      <c r="UJP28"/>
      <c r="UJQ28"/>
      <c r="UJR28"/>
      <c r="UJS28"/>
      <c r="UJT28"/>
      <c r="UJU28"/>
      <c r="UJV28"/>
      <c r="UJW28"/>
      <c r="UJX28"/>
      <c r="UJY28"/>
      <c r="UJZ28"/>
      <c r="UKA28"/>
      <c r="UKB28"/>
      <c r="UKC28"/>
      <c r="UKD28"/>
      <c r="UKE28"/>
      <c r="UKF28"/>
      <c r="UKG28"/>
      <c r="UKH28"/>
      <c r="UKI28"/>
      <c r="UKJ28"/>
      <c r="UKK28"/>
      <c r="UKL28"/>
      <c r="UKM28"/>
      <c r="UKN28"/>
      <c r="UKO28"/>
      <c r="UKP28"/>
      <c r="UKQ28"/>
      <c r="UKR28"/>
      <c r="UKS28"/>
      <c r="UKT28"/>
      <c r="UKU28"/>
      <c r="UKV28"/>
      <c r="UKW28"/>
      <c r="UKX28"/>
      <c r="UKY28"/>
      <c r="UKZ28"/>
      <c r="ULA28"/>
      <c r="ULB28"/>
      <c r="ULC28"/>
      <c r="ULD28"/>
      <c r="ULE28"/>
      <c r="ULF28"/>
      <c r="ULG28"/>
      <c r="ULH28"/>
      <c r="ULI28"/>
      <c r="ULJ28"/>
      <c r="ULK28"/>
      <c r="ULL28"/>
      <c r="ULM28"/>
      <c r="ULN28"/>
      <c r="ULO28"/>
      <c r="ULP28"/>
      <c r="ULQ28"/>
      <c r="ULR28"/>
      <c r="ULS28"/>
      <c r="ULT28"/>
      <c r="ULU28"/>
      <c r="ULV28"/>
      <c r="ULW28"/>
      <c r="ULX28"/>
      <c r="ULY28"/>
      <c r="ULZ28"/>
      <c r="UMA28"/>
      <c r="UMB28"/>
      <c r="UMC28"/>
      <c r="UMD28"/>
      <c r="UME28"/>
      <c r="UMF28"/>
      <c r="UMG28"/>
      <c r="UMH28"/>
      <c r="UMI28"/>
      <c r="UMJ28"/>
      <c r="UMK28"/>
      <c r="UML28"/>
      <c r="UMM28"/>
      <c r="UMN28"/>
      <c r="UMO28"/>
      <c r="UMP28"/>
      <c r="UMQ28"/>
      <c r="UMR28"/>
      <c r="UMS28"/>
      <c r="UMT28"/>
      <c r="UMU28"/>
      <c r="UMV28"/>
      <c r="UMW28"/>
      <c r="UMX28"/>
      <c r="UMY28"/>
      <c r="UMZ28"/>
      <c r="UNA28"/>
      <c r="UNB28"/>
      <c r="UNC28"/>
      <c r="UND28"/>
      <c r="UNE28"/>
      <c r="UNF28"/>
      <c r="UNG28"/>
      <c r="UNH28"/>
      <c r="UNI28"/>
      <c r="UNJ28"/>
      <c r="UNK28"/>
      <c r="UNL28"/>
      <c r="UNM28"/>
      <c r="UNN28"/>
      <c r="UNO28"/>
      <c r="UNP28"/>
      <c r="UNQ28"/>
      <c r="UNR28"/>
      <c r="UNS28"/>
      <c r="UNT28"/>
      <c r="UNU28"/>
      <c r="UNV28"/>
      <c r="UNW28"/>
      <c r="UNX28"/>
      <c r="UNY28"/>
      <c r="UNZ28"/>
      <c r="UOA28"/>
      <c r="UOB28"/>
      <c r="UOC28"/>
      <c r="UOD28"/>
      <c r="UOE28"/>
      <c r="UOF28"/>
      <c r="UOG28"/>
      <c r="UOH28"/>
      <c r="UOI28"/>
      <c r="UOJ28"/>
      <c r="UOK28"/>
      <c r="UOL28"/>
      <c r="UOM28"/>
      <c r="UON28"/>
      <c r="UOO28"/>
      <c r="UOP28"/>
      <c r="UOQ28"/>
      <c r="UOR28"/>
      <c r="UOS28"/>
      <c r="UOT28"/>
      <c r="UOU28"/>
      <c r="UOV28"/>
      <c r="UOW28"/>
      <c r="UOX28"/>
      <c r="UOY28"/>
      <c r="UOZ28"/>
      <c r="UPA28"/>
      <c r="UPB28"/>
      <c r="UPC28"/>
      <c r="UPD28"/>
      <c r="UPE28"/>
      <c r="UPF28"/>
      <c r="UPG28"/>
      <c r="UPH28"/>
      <c r="UPI28"/>
      <c r="UPJ28"/>
      <c r="UPK28"/>
      <c r="UPL28"/>
      <c r="UPM28"/>
      <c r="UPN28"/>
      <c r="UPO28"/>
      <c r="UPP28"/>
      <c r="UPQ28"/>
      <c r="UPR28"/>
      <c r="UPS28"/>
      <c r="UPT28"/>
      <c r="UPU28"/>
      <c r="UPV28"/>
      <c r="UPW28"/>
      <c r="UPX28"/>
      <c r="UPY28"/>
      <c r="UPZ28"/>
      <c r="UQA28"/>
      <c r="UQB28"/>
      <c r="UQC28"/>
      <c r="UQD28"/>
      <c r="UQE28"/>
      <c r="UQF28"/>
      <c r="UQG28"/>
      <c r="UQH28"/>
      <c r="UQI28"/>
      <c r="UQJ28"/>
      <c r="UQK28"/>
      <c r="UQL28"/>
      <c r="UQM28"/>
      <c r="UQN28"/>
      <c r="UQO28"/>
      <c r="UQP28"/>
      <c r="UQQ28"/>
      <c r="UQR28"/>
      <c r="UQS28"/>
      <c r="UQT28"/>
      <c r="UQU28"/>
      <c r="UQV28"/>
      <c r="UQW28"/>
      <c r="UQX28"/>
      <c r="UQY28"/>
      <c r="UQZ28"/>
      <c r="URA28"/>
      <c r="URB28"/>
      <c r="URC28"/>
      <c r="URD28"/>
      <c r="URE28"/>
      <c r="URF28"/>
      <c r="URG28"/>
      <c r="URH28"/>
      <c r="URI28"/>
      <c r="URJ28"/>
      <c r="URK28"/>
      <c r="URL28"/>
      <c r="URM28"/>
      <c r="URN28"/>
      <c r="URO28"/>
      <c r="URP28"/>
      <c r="URQ28"/>
      <c r="URR28"/>
      <c r="URS28"/>
      <c r="URT28"/>
      <c r="URU28"/>
      <c r="URV28"/>
      <c r="URW28"/>
      <c r="URX28"/>
      <c r="URY28"/>
      <c r="URZ28"/>
      <c r="USA28"/>
      <c r="USB28"/>
      <c r="USC28"/>
      <c r="USD28"/>
      <c r="USE28"/>
      <c r="USF28"/>
      <c r="USG28"/>
      <c r="USH28"/>
      <c r="USI28"/>
      <c r="USJ28"/>
      <c r="USK28"/>
      <c r="USL28"/>
      <c r="USM28"/>
      <c r="USN28"/>
      <c r="USO28"/>
      <c r="USP28"/>
      <c r="USQ28"/>
      <c r="USR28"/>
      <c r="USS28"/>
      <c r="UST28"/>
      <c r="USU28"/>
      <c r="USV28"/>
      <c r="USW28"/>
      <c r="USX28"/>
      <c r="USY28"/>
      <c r="USZ28"/>
      <c r="UTA28"/>
      <c r="UTB28"/>
      <c r="UTC28"/>
      <c r="UTD28"/>
      <c r="UTE28"/>
      <c r="UTF28"/>
      <c r="UTG28"/>
      <c r="UTH28"/>
      <c r="UTI28"/>
      <c r="UTJ28"/>
      <c r="UTK28"/>
      <c r="UTL28"/>
      <c r="UTM28"/>
      <c r="UTN28"/>
      <c r="UTO28"/>
      <c r="UTP28"/>
      <c r="UTQ28"/>
      <c r="UTR28"/>
      <c r="UTS28"/>
      <c r="UTT28"/>
      <c r="UTU28"/>
      <c r="UTV28"/>
      <c r="UTW28"/>
      <c r="UTX28"/>
      <c r="UTY28"/>
      <c r="UTZ28"/>
      <c r="UUA28"/>
      <c r="UUB28"/>
      <c r="UUC28"/>
      <c r="UUD28"/>
      <c r="UUE28"/>
      <c r="UUF28"/>
      <c r="UUG28"/>
      <c r="UUH28"/>
      <c r="UUI28"/>
      <c r="UUJ28"/>
      <c r="UUK28"/>
      <c r="UUL28"/>
      <c r="UUM28"/>
      <c r="UUN28"/>
      <c r="UUO28"/>
      <c r="UUP28"/>
      <c r="UUQ28"/>
      <c r="UUR28"/>
      <c r="UUS28"/>
      <c r="UUT28"/>
      <c r="UUU28"/>
      <c r="UUV28"/>
      <c r="UUW28"/>
      <c r="UUX28"/>
      <c r="UUY28"/>
      <c r="UUZ28"/>
      <c r="UVA28"/>
      <c r="UVB28"/>
      <c r="UVC28"/>
      <c r="UVD28"/>
      <c r="UVE28"/>
      <c r="UVF28"/>
      <c r="UVG28"/>
      <c r="UVH28"/>
      <c r="UVI28"/>
      <c r="UVJ28"/>
      <c r="UVK28"/>
      <c r="UVL28"/>
      <c r="UVM28"/>
      <c r="UVN28"/>
      <c r="UVO28"/>
      <c r="UVP28"/>
      <c r="UVQ28"/>
      <c r="UVR28"/>
      <c r="UVS28"/>
      <c r="UVT28"/>
      <c r="UVU28"/>
      <c r="UVV28"/>
      <c r="UVW28"/>
      <c r="UVX28"/>
      <c r="UVY28"/>
      <c r="UVZ28"/>
      <c r="UWA28"/>
      <c r="UWB28"/>
      <c r="UWC28"/>
      <c r="UWD28"/>
      <c r="UWE28"/>
      <c r="UWF28"/>
      <c r="UWG28"/>
      <c r="UWH28"/>
      <c r="UWI28"/>
      <c r="UWJ28"/>
      <c r="UWK28"/>
      <c r="UWL28"/>
      <c r="UWM28"/>
      <c r="UWN28"/>
      <c r="UWO28"/>
      <c r="UWP28"/>
      <c r="UWQ28"/>
      <c r="UWR28"/>
      <c r="UWS28"/>
      <c r="UWT28"/>
      <c r="UWU28"/>
      <c r="UWV28"/>
      <c r="UWW28"/>
      <c r="UWX28"/>
      <c r="UWY28"/>
      <c r="UWZ28"/>
      <c r="UXA28"/>
      <c r="UXB28"/>
      <c r="UXC28"/>
      <c r="UXD28"/>
      <c r="UXE28"/>
      <c r="UXF28"/>
      <c r="UXG28"/>
      <c r="UXH28"/>
      <c r="UXI28"/>
      <c r="UXJ28"/>
      <c r="UXK28"/>
      <c r="UXL28"/>
      <c r="UXM28"/>
      <c r="UXN28"/>
      <c r="UXO28"/>
      <c r="UXP28"/>
      <c r="UXQ28"/>
      <c r="UXR28"/>
      <c r="UXS28"/>
      <c r="UXT28"/>
      <c r="UXU28"/>
      <c r="UXV28"/>
      <c r="UXW28"/>
      <c r="UXX28"/>
      <c r="UXY28"/>
      <c r="UXZ28"/>
      <c r="UYA28"/>
      <c r="UYB28"/>
      <c r="UYC28"/>
      <c r="UYD28"/>
      <c r="UYE28"/>
      <c r="UYF28"/>
      <c r="UYG28"/>
      <c r="UYH28"/>
      <c r="UYI28"/>
      <c r="UYJ28"/>
      <c r="UYK28"/>
      <c r="UYL28"/>
      <c r="UYM28"/>
      <c r="UYN28"/>
      <c r="UYO28"/>
      <c r="UYP28"/>
      <c r="UYQ28"/>
      <c r="UYR28"/>
      <c r="UYS28"/>
      <c r="UYT28"/>
      <c r="UYU28"/>
      <c r="UYV28"/>
      <c r="UYW28"/>
      <c r="UYX28"/>
      <c r="UYY28"/>
      <c r="UYZ28"/>
      <c r="UZA28"/>
      <c r="UZB28"/>
      <c r="UZC28"/>
      <c r="UZD28"/>
      <c r="UZE28"/>
      <c r="UZF28"/>
      <c r="UZG28"/>
      <c r="UZH28"/>
      <c r="UZI28"/>
      <c r="UZJ28"/>
      <c r="UZK28"/>
      <c r="UZL28"/>
      <c r="UZM28"/>
      <c r="UZN28"/>
      <c r="UZO28"/>
      <c r="UZP28"/>
      <c r="UZQ28"/>
      <c r="UZR28"/>
      <c r="UZS28"/>
      <c r="UZT28"/>
      <c r="UZU28"/>
      <c r="UZV28"/>
      <c r="UZW28"/>
      <c r="UZX28"/>
      <c r="UZY28"/>
      <c r="UZZ28"/>
      <c r="VAA28"/>
      <c r="VAB28"/>
      <c r="VAC28"/>
      <c r="VAD28"/>
      <c r="VAE28"/>
      <c r="VAF28"/>
      <c r="VAG28"/>
      <c r="VAH28"/>
      <c r="VAI28"/>
      <c r="VAJ28"/>
      <c r="VAK28"/>
      <c r="VAL28"/>
      <c r="VAM28"/>
      <c r="VAN28"/>
      <c r="VAO28"/>
      <c r="VAP28"/>
      <c r="VAQ28"/>
      <c r="VAR28"/>
      <c r="VAS28"/>
      <c r="VAT28"/>
      <c r="VAU28"/>
      <c r="VAV28"/>
      <c r="VAW28"/>
      <c r="VAX28"/>
      <c r="VAY28"/>
      <c r="VAZ28"/>
      <c r="VBA28"/>
      <c r="VBB28"/>
      <c r="VBC28"/>
      <c r="VBD28"/>
      <c r="VBE28"/>
      <c r="VBF28"/>
      <c r="VBG28"/>
      <c r="VBH28"/>
      <c r="VBI28"/>
      <c r="VBJ28"/>
      <c r="VBK28"/>
      <c r="VBL28"/>
      <c r="VBM28"/>
      <c r="VBN28"/>
      <c r="VBO28"/>
      <c r="VBP28"/>
      <c r="VBQ28"/>
      <c r="VBR28"/>
      <c r="VBS28"/>
      <c r="VBT28"/>
      <c r="VBU28"/>
      <c r="VBV28"/>
      <c r="VBW28"/>
      <c r="VBX28"/>
      <c r="VBY28"/>
      <c r="VBZ28"/>
      <c r="VCA28"/>
      <c r="VCB28"/>
      <c r="VCC28"/>
      <c r="VCD28"/>
      <c r="VCE28"/>
      <c r="VCF28"/>
      <c r="VCG28"/>
      <c r="VCH28"/>
      <c r="VCI28"/>
      <c r="VCJ28"/>
      <c r="VCK28"/>
      <c r="VCL28"/>
      <c r="VCM28"/>
      <c r="VCN28"/>
      <c r="VCO28"/>
      <c r="VCP28"/>
      <c r="VCQ28"/>
      <c r="VCR28"/>
      <c r="VCS28"/>
      <c r="VCT28"/>
      <c r="VCU28"/>
      <c r="VCV28"/>
      <c r="VCW28"/>
      <c r="VCX28"/>
      <c r="VCY28"/>
      <c r="VCZ28"/>
      <c r="VDA28"/>
      <c r="VDB28"/>
      <c r="VDC28"/>
      <c r="VDD28"/>
      <c r="VDE28"/>
      <c r="VDF28"/>
      <c r="VDG28"/>
      <c r="VDH28"/>
      <c r="VDI28"/>
      <c r="VDJ28"/>
      <c r="VDK28"/>
      <c r="VDL28"/>
      <c r="VDM28"/>
      <c r="VDN28"/>
      <c r="VDO28"/>
      <c r="VDP28"/>
      <c r="VDQ28"/>
      <c r="VDR28"/>
      <c r="VDS28"/>
      <c r="VDT28"/>
      <c r="VDU28"/>
      <c r="VDV28"/>
      <c r="VDW28"/>
      <c r="VDX28"/>
      <c r="VDY28"/>
      <c r="VDZ28"/>
      <c r="VEA28"/>
      <c r="VEB28"/>
      <c r="VEC28"/>
      <c r="VED28"/>
      <c r="VEE28"/>
      <c r="VEF28"/>
      <c r="VEG28"/>
      <c r="VEH28"/>
      <c r="VEI28"/>
      <c r="VEJ28"/>
      <c r="VEK28"/>
      <c r="VEL28"/>
      <c r="VEM28"/>
      <c r="VEN28"/>
      <c r="VEO28"/>
      <c r="VEP28"/>
      <c r="VEQ28"/>
      <c r="VER28"/>
      <c r="VES28"/>
      <c r="VET28"/>
      <c r="VEU28"/>
      <c r="VEV28"/>
      <c r="VEW28"/>
      <c r="VEX28"/>
      <c r="VEY28"/>
      <c r="VEZ28"/>
      <c r="VFA28"/>
      <c r="VFB28"/>
      <c r="VFC28"/>
      <c r="VFD28"/>
      <c r="VFE28"/>
      <c r="VFF28"/>
      <c r="VFG28"/>
      <c r="VFH28"/>
      <c r="VFI28"/>
      <c r="VFJ28"/>
      <c r="VFK28"/>
      <c r="VFL28"/>
      <c r="VFM28"/>
      <c r="VFN28"/>
      <c r="VFO28"/>
      <c r="VFP28"/>
      <c r="VFQ28"/>
      <c r="VFR28"/>
      <c r="VFS28"/>
      <c r="VFT28"/>
      <c r="VFU28"/>
      <c r="VFV28"/>
      <c r="VFW28"/>
      <c r="VFX28"/>
      <c r="VFY28"/>
      <c r="VFZ28"/>
      <c r="VGA28"/>
      <c r="VGB28"/>
      <c r="VGC28"/>
      <c r="VGD28"/>
      <c r="VGE28"/>
      <c r="VGF28"/>
      <c r="VGG28"/>
      <c r="VGH28"/>
      <c r="VGI28"/>
      <c r="VGJ28"/>
      <c r="VGK28"/>
      <c r="VGL28"/>
      <c r="VGM28"/>
      <c r="VGN28"/>
      <c r="VGO28"/>
      <c r="VGP28"/>
      <c r="VGQ28"/>
      <c r="VGR28"/>
      <c r="VGS28"/>
      <c r="VGT28"/>
      <c r="VGU28"/>
      <c r="VGV28"/>
      <c r="VGW28"/>
      <c r="VGX28"/>
      <c r="VGY28"/>
      <c r="VGZ28"/>
      <c r="VHA28"/>
      <c r="VHB28"/>
      <c r="VHC28"/>
      <c r="VHD28"/>
      <c r="VHE28"/>
      <c r="VHF28"/>
      <c r="VHG28"/>
      <c r="VHH28"/>
      <c r="VHI28"/>
      <c r="VHJ28"/>
      <c r="VHK28"/>
      <c r="VHL28"/>
      <c r="VHM28"/>
      <c r="VHN28"/>
      <c r="VHO28"/>
      <c r="VHP28"/>
      <c r="VHQ28"/>
      <c r="VHR28"/>
      <c r="VHS28"/>
      <c r="VHT28"/>
      <c r="VHU28"/>
      <c r="VHV28"/>
      <c r="VHW28"/>
      <c r="VHX28"/>
      <c r="VHY28"/>
      <c r="VHZ28"/>
      <c r="VIA28"/>
      <c r="VIB28"/>
      <c r="VIC28"/>
      <c r="VID28"/>
      <c r="VIE28"/>
      <c r="VIF28"/>
      <c r="VIG28"/>
      <c r="VIH28"/>
      <c r="VII28"/>
      <c r="VIJ28"/>
      <c r="VIK28"/>
      <c r="VIL28"/>
      <c r="VIM28"/>
      <c r="VIN28"/>
      <c r="VIO28"/>
      <c r="VIP28"/>
      <c r="VIQ28"/>
      <c r="VIR28"/>
      <c r="VIS28"/>
      <c r="VIT28"/>
      <c r="VIU28"/>
      <c r="VIV28"/>
      <c r="VIW28"/>
      <c r="VIX28"/>
      <c r="VIY28"/>
      <c r="VIZ28"/>
      <c r="VJA28"/>
      <c r="VJB28"/>
      <c r="VJC28"/>
      <c r="VJD28"/>
      <c r="VJE28"/>
      <c r="VJF28"/>
      <c r="VJG28"/>
      <c r="VJH28"/>
      <c r="VJI28"/>
      <c r="VJJ28"/>
      <c r="VJK28"/>
      <c r="VJL28"/>
      <c r="VJM28"/>
      <c r="VJN28"/>
      <c r="VJO28"/>
      <c r="VJP28"/>
      <c r="VJQ28"/>
      <c r="VJR28"/>
      <c r="VJS28"/>
      <c r="VJT28"/>
      <c r="VJU28"/>
      <c r="VJV28"/>
      <c r="VJW28"/>
      <c r="VJX28"/>
      <c r="VJY28"/>
      <c r="VJZ28"/>
      <c r="VKA28"/>
      <c r="VKB28"/>
      <c r="VKC28"/>
      <c r="VKD28"/>
      <c r="VKE28"/>
      <c r="VKF28"/>
      <c r="VKG28"/>
      <c r="VKH28"/>
      <c r="VKI28"/>
      <c r="VKJ28"/>
      <c r="VKK28"/>
      <c r="VKL28"/>
      <c r="VKM28"/>
      <c r="VKN28"/>
      <c r="VKO28"/>
      <c r="VKP28"/>
      <c r="VKQ28"/>
      <c r="VKR28"/>
      <c r="VKS28"/>
      <c r="VKT28"/>
      <c r="VKU28"/>
      <c r="VKV28"/>
      <c r="VKW28"/>
      <c r="VKX28"/>
      <c r="VKY28"/>
      <c r="VKZ28"/>
      <c r="VLA28"/>
      <c r="VLB28"/>
      <c r="VLC28"/>
      <c r="VLD28"/>
      <c r="VLE28"/>
      <c r="VLF28"/>
      <c r="VLG28"/>
      <c r="VLH28"/>
      <c r="VLI28"/>
      <c r="VLJ28"/>
      <c r="VLK28"/>
      <c r="VLL28"/>
      <c r="VLM28"/>
      <c r="VLN28"/>
      <c r="VLO28"/>
      <c r="VLP28"/>
      <c r="VLQ28"/>
      <c r="VLR28"/>
      <c r="VLS28"/>
      <c r="VLT28"/>
      <c r="VLU28"/>
      <c r="VLV28"/>
      <c r="VLW28"/>
      <c r="VLX28"/>
      <c r="VLY28"/>
      <c r="VLZ28"/>
      <c r="VMA28"/>
      <c r="VMB28"/>
      <c r="VMC28"/>
      <c r="VMD28"/>
      <c r="VME28"/>
      <c r="VMF28"/>
      <c r="VMG28"/>
      <c r="VMH28"/>
      <c r="VMI28"/>
      <c r="VMJ28"/>
      <c r="VMK28"/>
      <c r="VML28"/>
      <c r="VMM28"/>
      <c r="VMN28"/>
      <c r="VMO28"/>
      <c r="VMP28"/>
      <c r="VMQ28"/>
      <c r="VMR28"/>
      <c r="VMS28"/>
      <c r="VMT28"/>
      <c r="VMU28"/>
      <c r="VMV28"/>
      <c r="VMW28"/>
      <c r="VMX28"/>
      <c r="VMY28"/>
      <c r="VMZ28"/>
      <c r="VNA28"/>
      <c r="VNB28"/>
      <c r="VNC28"/>
      <c r="VND28"/>
      <c r="VNE28"/>
      <c r="VNF28"/>
      <c r="VNG28"/>
      <c r="VNH28"/>
      <c r="VNI28"/>
      <c r="VNJ28"/>
      <c r="VNK28"/>
      <c r="VNL28"/>
      <c r="VNM28"/>
      <c r="VNN28"/>
      <c r="VNO28"/>
      <c r="VNP28"/>
      <c r="VNQ28"/>
      <c r="VNR28"/>
      <c r="VNS28"/>
      <c r="VNT28"/>
      <c r="VNU28"/>
      <c r="VNV28"/>
      <c r="VNW28"/>
      <c r="VNX28"/>
      <c r="VNY28"/>
      <c r="VNZ28"/>
      <c r="VOA28"/>
      <c r="VOB28"/>
      <c r="VOC28"/>
      <c r="VOD28"/>
      <c r="VOE28"/>
      <c r="VOF28"/>
      <c r="VOG28"/>
      <c r="VOH28"/>
      <c r="VOI28"/>
      <c r="VOJ28"/>
      <c r="VOK28"/>
      <c r="VOL28"/>
      <c r="VOM28"/>
      <c r="VON28"/>
      <c r="VOO28"/>
      <c r="VOP28"/>
      <c r="VOQ28"/>
      <c r="VOR28"/>
      <c r="VOS28"/>
      <c r="VOT28"/>
      <c r="VOU28"/>
      <c r="VOV28"/>
      <c r="VOW28"/>
      <c r="VOX28"/>
      <c r="VOY28"/>
      <c r="VOZ28"/>
      <c r="VPA28"/>
      <c r="VPB28"/>
      <c r="VPC28"/>
      <c r="VPD28"/>
      <c r="VPE28"/>
      <c r="VPF28"/>
      <c r="VPG28"/>
      <c r="VPH28"/>
      <c r="VPI28"/>
      <c r="VPJ28"/>
      <c r="VPK28"/>
      <c r="VPL28"/>
      <c r="VPM28"/>
      <c r="VPN28"/>
      <c r="VPO28"/>
      <c r="VPP28"/>
      <c r="VPQ28"/>
      <c r="VPR28"/>
      <c r="VPS28"/>
      <c r="VPT28"/>
      <c r="VPU28"/>
      <c r="VPV28"/>
      <c r="VPW28"/>
      <c r="VPX28"/>
      <c r="VPY28"/>
      <c r="VPZ28"/>
      <c r="VQA28"/>
      <c r="VQB28"/>
      <c r="VQC28"/>
      <c r="VQD28"/>
      <c r="VQE28"/>
      <c r="VQF28"/>
      <c r="VQG28"/>
      <c r="VQH28"/>
      <c r="VQI28"/>
      <c r="VQJ28"/>
      <c r="VQK28"/>
      <c r="VQL28"/>
      <c r="VQM28"/>
      <c r="VQN28"/>
      <c r="VQO28"/>
      <c r="VQP28"/>
      <c r="VQQ28"/>
      <c r="VQR28"/>
      <c r="VQS28"/>
      <c r="VQT28"/>
      <c r="VQU28"/>
      <c r="VQV28"/>
      <c r="VQW28"/>
      <c r="VQX28"/>
      <c r="VQY28"/>
      <c r="VQZ28"/>
      <c r="VRA28"/>
      <c r="VRB28"/>
      <c r="VRC28"/>
      <c r="VRD28"/>
      <c r="VRE28"/>
      <c r="VRF28"/>
      <c r="VRG28"/>
      <c r="VRH28"/>
      <c r="VRI28"/>
      <c r="VRJ28"/>
      <c r="VRK28"/>
      <c r="VRL28"/>
      <c r="VRM28"/>
      <c r="VRN28"/>
      <c r="VRO28"/>
      <c r="VRP28"/>
      <c r="VRQ28"/>
      <c r="VRR28"/>
      <c r="VRS28"/>
      <c r="VRT28"/>
      <c r="VRU28"/>
      <c r="VRV28"/>
      <c r="VRW28"/>
      <c r="VRX28"/>
      <c r="VRY28"/>
      <c r="VRZ28"/>
      <c r="VSA28"/>
      <c r="VSB28"/>
      <c r="VSC28"/>
      <c r="VSD28"/>
      <c r="VSE28"/>
      <c r="VSF28"/>
      <c r="VSG28"/>
      <c r="VSH28"/>
      <c r="VSI28"/>
      <c r="VSJ28"/>
      <c r="VSK28"/>
      <c r="VSL28"/>
      <c r="VSM28"/>
      <c r="VSN28"/>
      <c r="VSO28"/>
      <c r="VSP28"/>
      <c r="VSQ28"/>
      <c r="VSR28"/>
      <c r="VSS28"/>
      <c r="VST28"/>
      <c r="VSU28"/>
      <c r="VSV28"/>
      <c r="VSW28"/>
      <c r="VSX28"/>
      <c r="VSY28"/>
      <c r="VSZ28"/>
      <c r="VTA28"/>
      <c r="VTB28"/>
      <c r="VTC28"/>
      <c r="VTD28"/>
      <c r="VTE28"/>
      <c r="VTF28"/>
      <c r="VTG28"/>
      <c r="VTH28"/>
      <c r="VTI28"/>
      <c r="VTJ28"/>
      <c r="VTK28"/>
      <c r="VTL28"/>
      <c r="VTM28"/>
      <c r="VTN28"/>
      <c r="VTO28"/>
      <c r="VTP28"/>
      <c r="VTQ28"/>
      <c r="VTR28"/>
      <c r="VTS28"/>
      <c r="VTT28"/>
      <c r="VTU28"/>
      <c r="VTV28"/>
      <c r="VTW28"/>
      <c r="VTX28"/>
      <c r="VTY28"/>
      <c r="VTZ28"/>
      <c r="VUA28"/>
      <c r="VUB28"/>
      <c r="VUC28"/>
      <c r="VUD28"/>
      <c r="VUE28"/>
      <c r="VUF28"/>
      <c r="VUG28"/>
      <c r="VUH28"/>
      <c r="VUI28"/>
      <c r="VUJ28"/>
      <c r="VUK28"/>
      <c r="VUL28"/>
      <c r="VUM28"/>
      <c r="VUN28"/>
      <c r="VUO28"/>
      <c r="VUP28"/>
      <c r="VUQ28"/>
      <c r="VUR28"/>
      <c r="VUS28"/>
      <c r="VUT28"/>
      <c r="VUU28"/>
      <c r="VUV28"/>
      <c r="VUW28"/>
      <c r="VUX28"/>
      <c r="VUY28"/>
      <c r="VUZ28"/>
      <c r="VVA28"/>
      <c r="VVB28"/>
      <c r="VVC28"/>
      <c r="VVD28"/>
      <c r="VVE28"/>
      <c r="VVF28"/>
      <c r="VVG28"/>
      <c r="VVH28"/>
      <c r="VVI28"/>
      <c r="VVJ28"/>
      <c r="VVK28"/>
      <c r="VVL28"/>
      <c r="VVM28"/>
      <c r="VVN28"/>
      <c r="VVO28"/>
      <c r="VVP28"/>
      <c r="VVQ28"/>
      <c r="VVR28"/>
      <c r="VVS28"/>
      <c r="VVT28"/>
      <c r="VVU28"/>
      <c r="VVV28"/>
      <c r="VVW28"/>
      <c r="VVX28"/>
      <c r="VVY28"/>
      <c r="VVZ28"/>
      <c r="VWA28"/>
      <c r="VWB28"/>
      <c r="VWC28"/>
      <c r="VWD28"/>
      <c r="VWE28"/>
      <c r="VWF28"/>
      <c r="VWG28"/>
      <c r="VWH28"/>
      <c r="VWI28"/>
      <c r="VWJ28"/>
      <c r="VWK28"/>
      <c r="VWL28"/>
      <c r="VWM28"/>
      <c r="VWN28"/>
      <c r="VWO28"/>
      <c r="VWP28"/>
      <c r="VWQ28"/>
      <c r="VWR28"/>
      <c r="VWS28"/>
      <c r="VWT28"/>
      <c r="VWU28"/>
      <c r="VWV28"/>
      <c r="VWW28"/>
      <c r="VWX28"/>
      <c r="VWY28"/>
      <c r="VWZ28"/>
      <c r="VXA28"/>
      <c r="VXB28"/>
      <c r="VXC28"/>
      <c r="VXD28"/>
      <c r="VXE28"/>
      <c r="VXF28"/>
      <c r="VXG28"/>
      <c r="VXH28"/>
      <c r="VXI28"/>
      <c r="VXJ28"/>
      <c r="VXK28"/>
      <c r="VXL28"/>
      <c r="VXM28"/>
      <c r="VXN28"/>
      <c r="VXO28"/>
      <c r="VXP28"/>
      <c r="VXQ28"/>
      <c r="VXR28"/>
      <c r="VXS28"/>
      <c r="VXT28"/>
      <c r="VXU28"/>
      <c r="VXV28"/>
      <c r="VXW28"/>
      <c r="VXX28"/>
      <c r="VXY28"/>
      <c r="VXZ28"/>
      <c r="VYA28"/>
      <c r="VYB28"/>
      <c r="VYC28"/>
      <c r="VYD28"/>
      <c r="VYE28"/>
      <c r="VYF28"/>
      <c r="VYG28"/>
      <c r="VYH28"/>
      <c r="VYI28"/>
      <c r="VYJ28"/>
      <c r="VYK28"/>
      <c r="VYL28"/>
      <c r="VYM28"/>
      <c r="VYN28"/>
      <c r="VYO28"/>
      <c r="VYP28"/>
      <c r="VYQ28"/>
      <c r="VYR28"/>
      <c r="VYS28"/>
      <c r="VYT28"/>
      <c r="VYU28"/>
      <c r="VYV28"/>
      <c r="VYW28"/>
      <c r="VYX28"/>
      <c r="VYY28"/>
      <c r="VYZ28"/>
      <c r="VZA28"/>
      <c r="VZB28"/>
      <c r="VZC28"/>
      <c r="VZD28"/>
      <c r="VZE28"/>
      <c r="VZF28"/>
      <c r="VZG28"/>
      <c r="VZH28"/>
      <c r="VZI28"/>
      <c r="VZJ28"/>
      <c r="VZK28"/>
      <c r="VZL28"/>
      <c r="VZM28"/>
      <c r="VZN28"/>
      <c r="VZO28"/>
      <c r="VZP28"/>
      <c r="VZQ28"/>
      <c r="VZR28"/>
      <c r="VZS28"/>
      <c r="VZT28"/>
      <c r="VZU28"/>
      <c r="VZV28"/>
      <c r="VZW28"/>
      <c r="VZX28"/>
      <c r="VZY28"/>
      <c r="VZZ28"/>
      <c r="WAA28"/>
      <c r="WAB28"/>
      <c r="WAC28"/>
      <c r="WAD28"/>
      <c r="WAE28"/>
      <c r="WAF28"/>
      <c r="WAG28"/>
      <c r="WAH28"/>
      <c r="WAI28"/>
      <c r="WAJ28"/>
      <c r="WAK28"/>
      <c r="WAL28"/>
      <c r="WAM28"/>
      <c r="WAN28"/>
      <c r="WAO28"/>
      <c r="WAP28"/>
      <c r="WAQ28"/>
      <c r="WAR28"/>
      <c r="WAS28"/>
      <c r="WAT28"/>
      <c r="WAU28"/>
      <c r="WAV28"/>
      <c r="WAW28"/>
      <c r="WAX28"/>
      <c r="WAY28"/>
      <c r="WAZ28"/>
      <c r="WBA28"/>
      <c r="WBB28"/>
      <c r="WBC28"/>
      <c r="WBD28"/>
      <c r="WBE28"/>
      <c r="WBF28"/>
      <c r="WBG28"/>
      <c r="WBH28"/>
      <c r="WBI28"/>
      <c r="WBJ28"/>
      <c r="WBK28"/>
      <c r="WBL28"/>
      <c r="WBM28"/>
      <c r="WBN28"/>
      <c r="WBO28"/>
      <c r="WBP28"/>
      <c r="WBQ28"/>
      <c r="WBR28"/>
      <c r="WBS28"/>
      <c r="WBT28"/>
      <c r="WBU28"/>
      <c r="WBV28"/>
      <c r="WBW28"/>
      <c r="WBX28"/>
      <c r="WBY28"/>
      <c r="WBZ28"/>
      <c r="WCA28"/>
      <c r="WCB28"/>
      <c r="WCC28"/>
      <c r="WCD28"/>
      <c r="WCE28"/>
      <c r="WCF28"/>
      <c r="WCG28"/>
      <c r="WCH28"/>
      <c r="WCI28"/>
      <c r="WCJ28"/>
      <c r="WCK28"/>
      <c r="WCL28"/>
      <c r="WCM28"/>
      <c r="WCN28"/>
      <c r="WCO28"/>
      <c r="WCP28"/>
      <c r="WCQ28"/>
      <c r="WCR28"/>
      <c r="WCS28"/>
      <c r="WCT28"/>
      <c r="WCU28"/>
      <c r="WCV28"/>
      <c r="WCW28"/>
      <c r="WCX28"/>
      <c r="WCY28"/>
      <c r="WCZ28"/>
      <c r="WDA28"/>
      <c r="WDB28"/>
      <c r="WDC28"/>
      <c r="WDD28"/>
      <c r="WDE28"/>
      <c r="WDF28"/>
      <c r="WDG28"/>
      <c r="WDH28"/>
      <c r="WDI28"/>
      <c r="WDJ28"/>
      <c r="WDK28"/>
      <c r="WDL28"/>
      <c r="WDM28"/>
      <c r="WDN28"/>
      <c r="WDO28"/>
      <c r="WDP28"/>
      <c r="WDQ28"/>
      <c r="WDR28"/>
      <c r="WDS28"/>
      <c r="WDT28"/>
      <c r="WDU28"/>
      <c r="WDV28"/>
      <c r="WDW28"/>
      <c r="WDX28"/>
      <c r="WDY28"/>
      <c r="WDZ28"/>
      <c r="WEA28"/>
      <c r="WEB28"/>
      <c r="WEC28"/>
      <c r="WED28"/>
      <c r="WEE28"/>
      <c r="WEF28"/>
      <c r="WEG28"/>
      <c r="WEH28"/>
      <c r="WEI28"/>
      <c r="WEJ28"/>
      <c r="WEK28"/>
      <c r="WEL28"/>
      <c r="WEM28"/>
      <c r="WEN28"/>
      <c r="WEO28"/>
      <c r="WEP28"/>
      <c r="WEQ28"/>
      <c r="WER28"/>
      <c r="WES28"/>
      <c r="WET28"/>
      <c r="WEU28"/>
      <c r="WEV28"/>
      <c r="WEW28"/>
      <c r="WEX28"/>
      <c r="WEY28"/>
      <c r="WEZ28"/>
      <c r="WFA28"/>
      <c r="WFB28"/>
      <c r="WFC28"/>
      <c r="WFD28"/>
      <c r="WFE28"/>
      <c r="WFF28"/>
      <c r="WFG28"/>
      <c r="WFH28"/>
      <c r="WFI28"/>
      <c r="WFJ28"/>
      <c r="WFK28"/>
      <c r="WFL28"/>
      <c r="WFM28"/>
      <c r="WFN28"/>
      <c r="WFO28"/>
      <c r="WFP28"/>
      <c r="WFQ28"/>
      <c r="WFR28"/>
      <c r="WFS28"/>
      <c r="WFT28"/>
      <c r="WFU28"/>
      <c r="WFV28"/>
      <c r="WFW28"/>
      <c r="WFX28"/>
      <c r="WFY28"/>
      <c r="WFZ28"/>
      <c r="WGA28"/>
      <c r="WGB28"/>
      <c r="WGC28"/>
      <c r="WGD28"/>
      <c r="WGE28"/>
      <c r="WGF28"/>
      <c r="WGG28"/>
      <c r="WGH28"/>
      <c r="WGI28"/>
      <c r="WGJ28"/>
      <c r="WGK28"/>
      <c r="WGL28"/>
      <c r="WGM28"/>
      <c r="WGN28"/>
      <c r="WGO28"/>
      <c r="WGP28"/>
      <c r="WGQ28"/>
      <c r="WGR28"/>
      <c r="WGS28"/>
      <c r="WGT28"/>
      <c r="WGU28"/>
      <c r="WGV28"/>
      <c r="WGW28"/>
      <c r="WGX28"/>
      <c r="WGY28"/>
      <c r="WGZ28"/>
      <c r="WHA28"/>
      <c r="WHB28"/>
      <c r="WHC28"/>
      <c r="WHD28"/>
      <c r="WHE28"/>
      <c r="WHF28"/>
      <c r="WHG28"/>
      <c r="WHH28"/>
      <c r="WHI28"/>
      <c r="WHJ28"/>
      <c r="WHK28"/>
      <c r="WHL28"/>
      <c r="WHM28"/>
      <c r="WHN28"/>
      <c r="WHO28"/>
      <c r="WHP28"/>
      <c r="WHQ28"/>
      <c r="WHR28"/>
      <c r="WHS28"/>
      <c r="WHT28"/>
      <c r="WHU28"/>
      <c r="WHV28"/>
      <c r="WHW28"/>
      <c r="WHX28"/>
      <c r="WHY28"/>
      <c r="WHZ28"/>
      <c r="WIA28"/>
      <c r="WIB28"/>
      <c r="WIC28"/>
      <c r="WID28"/>
      <c r="WIE28"/>
      <c r="WIF28"/>
      <c r="WIG28"/>
      <c r="WIH28"/>
      <c r="WII28"/>
      <c r="WIJ28"/>
      <c r="WIK28"/>
      <c r="WIL28"/>
      <c r="WIM28"/>
      <c r="WIN28"/>
      <c r="WIO28"/>
      <c r="WIP28"/>
      <c r="WIQ28"/>
      <c r="WIR28"/>
      <c r="WIS28"/>
      <c r="WIT28"/>
      <c r="WIU28"/>
      <c r="WIV28"/>
      <c r="WIW28"/>
      <c r="WIX28"/>
      <c r="WIY28"/>
      <c r="WIZ28"/>
      <c r="WJA28"/>
      <c r="WJB28"/>
      <c r="WJC28"/>
      <c r="WJD28"/>
      <c r="WJE28"/>
      <c r="WJF28"/>
      <c r="WJG28"/>
      <c r="WJH28"/>
      <c r="WJI28"/>
      <c r="WJJ28"/>
      <c r="WJK28"/>
      <c r="WJL28"/>
      <c r="WJM28"/>
      <c r="WJN28"/>
      <c r="WJO28"/>
      <c r="WJP28"/>
      <c r="WJQ28"/>
      <c r="WJR28"/>
      <c r="WJS28"/>
      <c r="WJT28"/>
      <c r="WJU28"/>
      <c r="WJV28"/>
      <c r="WJW28"/>
      <c r="WJX28"/>
      <c r="WJY28"/>
      <c r="WJZ28"/>
      <c r="WKA28"/>
      <c r="WKB28"/>
      <c r="WKC28"/>
      <c r="WKD28"/>
      <c r="WKE28"/>
      <c r="WKF28"/>
      <c r="WKG28"/>
      <c r="WKH28"/>
      <c r="WKI28"/>
      <c r="WKJ28"/>
      <c r="WKK28"/>
      <c r="WKL28"/>
      <c r="WKM28"/>
      <c r="WKN28"/>
      <c r="WKO28"/>
      <c r="WKP28"/>
      <c r="WKQ28"/>
      <c r="WKR28"/>
      <c r="WKS28"/>
      <c r="WKT28"/>
      <c r="WKU28"/>
      <c r="WKV28"/>
      <c r="WKW28"/>
      <c r="WKX28"/>
      <c r="WKY28"/>
      <c r="WKZ28"/>
      <c r="WLA28"/>
      <c r="WLB28"/>
      <c r="WLC28"/>
      <c r="WLD28"/>
      <c r="WLE28"/>
      <c r="WLF28"/>
      <c r="WLG28"/>
      <c r="WLH28"/>
      <c r="WLI28"/>
      <c r="WLJ28"/>
      <c r="WLK28"/>
      <c r="WLL28"/>
      <c r="WLM28"/>
      <c r="WLN28"/>
      <c r="WLO28"/>
      <c r="WLP28"/>
      <c r="WLQ28"/>
      <c r="WLR28"/>
      <c r="WLS28"/>
      <c r="WLT28"/>
      <c r="WLU28"/>
      <c r="WLV28"/>
      <c r="WLW28"/>
      <c r="WLX28"/>
      <c r="WLY28"/>
      <c r="WLZ28"/>
      <c r="WMA28"/>
      <c r="WMB28"/>
      <c r="WMC28"/>
      <c r="WMD28"/>
      <c r="WME28"/>
      <c r="WMF28"/>
      <c r="WMG28"/>
      <c r="WMH28"/>
      <c r="WMI28"/>
      <c r="WMJ28"/>
      <c r="WMK28"/>
      <c r="WML28"/>
      <c r="WMM28"/>
      <c r="WMN28"/>
      <c r="WMO28"/>
      <c r="WMP28"/>
      <c r="WMQ28"/>
      <c r="WMR28"/>
      <c r="WMS28"/>
      <c r="WMT28"/>
      <c r="WMU28"/>
      <c r="WMV28"/>
      <c r="WMW28"/>
      <c r="WMX28"/>
      <c r="WMY28"/>
      <c r="WMZ28"/>
      <c r="WNA28"/>
      <c r="WNB28"/>
      <c r="WNC28"/>
      <c r="WND28"/>
      <c r="WNE28"/>
      <c r="WNF28"/>
      <c r="WNG28"/>
      <c r="WNH28"/>
      <c r="WNI28"/>
      <c r="WNJ28"/>
      <c r="WNK28"/>
      <c r="WNL28"/>
      <c r="WNM28"/>
      <c r="WNN28"/>
      <c r="WNO28"/>
      <c r="WNP28"/>
      <c r="WNQ28"/>
      <c r="WNR28"/>
      <c r="WNS28"/>
      <c r="WNT28"/>
      <c r="WNU28"/>
      <c r="WNV28"/>
      <c r="WNW28"/>
      <c r="WNX28"/>
      <c r="WNY28"/>
      <c r="WNZ28"/>
      <c r="WOA28"/>
      <c r="WOB28"/>
      <c r="WOC28"/>
      <c r="WOD28"/>
      <c r="WOE28"/>
      <c r="WOF28"/>
      <c r="WOG28"/>
      <c r="WOH28"/>
      <c r="WOI28"/>
      <c r="WOJ28"/>
      <c r="WOK28"/>
      <c r="WOL28"/>
      <c r="WOM28"/>
      <c r="WON28"/>
      <c r="WOO28"/>
      <c r="WOP28"/>
      <c r="WOQ28"/>
      <c r="WOR28"/>
      <c r="WOS28"/>
      <c r="WOT28"/>
      <c r="WOU28"/>
      <c r="WOV28"/>
      <c r="WOW28"/>
      <c r="WOX28"/>
      <c r="WOY28"/>
      <c r="WOZ28"/>
      <c r="WPA28"/>
      <c r="WPB28"/>
      <c r="WPC28"/>
      <c r="WPD28"/>
      <c r="WPE28"/>
      <c r="WPF28"/>
      <c r="WPG28"/>
      <c r="WPH28"/>
      <c r="WPI28"/>
      <c r="WPJ28"/>
      <c r="WPK28"/>
      <c r="WPL28"/>
      <c r="WPM28"/>
      <c r="WPN28"/>
      <c r="WPO28"/>
      <c r="WPP28"/>
      <c r="WPQ28"/>
      <c r="WPR28"/>
      <c r="WPS28"/>
      <c r="WPT28"/>
      <c r="WPU28"/>
      <c r="WPV28"/>
      <c r="WPW28"/>
      <c r="WPX28"/>
      <c r="WPY28"/>
      <c r="WPZ28"/>
      <c r="WQA28"/>
      <c r="WQB28"/>
      <c r="WQC28"/>
      <c r="WQD28"/>
      <c r="WQE28"/>
      <c r="WQF28"/>
      <c r="WQG28"/>
      <c r="WQH28"/>
      <c r="WQI28"/>
      <c r="WQJ28"/>
      <c r="WQK28"/>
      <c r="WQL28"/>
      <c r="WQM28"/>
      <c r="WQN28"/>
      <c r="WQO28"/>
      <c r="WQP28"/>
      <c r="WQQ28"/>
      <c r="WQR28"/>
      <c r="WQS28"/>
      <c r="WQT28"/>
      <c r="WQU28"/>
      <c r="WQV28"/>
      <c r="WQW28"/>
      <c r="WQX28"/>
      <c r="WQY28"/>
      <c r="WQZ28"/>
      <c r="WRA28"/>
      <c r="WRB28"/>
      <c r="WRC28"/>
      <c r="WRD28"/>
      <c r="WRE28"/>
      <c r="WRF28"/>
      <c r="WRG28"/>
      <c r="WRH28"/>
      <c r="WRI28"/>
      <c r="WRJ28"/>
      <c r="WRK28"/>
      <c r="WRL28"/>
      <c r="WRM28"/>
      <c r="WRN28"/>
      <c r="WRO28"/>
      <c r="WRP28"/>
      <c r="WRQ28"/>
      <c r="WRR28"/>
      <c r="WRS28"/>
      <c r="WRT28"/>
      <c r="WRU28"/>
      <c r="WRV28"/>
      <c r="WRW28"/>
      <c r="WRX28"/>
      <c r="WRY28"/>
      <c r="WRZ28"/>
      <c r="WSA28"/>
      <c r="WSB28"/>
      <c r="WSC28"/>
      <c r="WSD28"/>
      <c r="WSE28"/>
      <c r="WSF28"/>
      <c r="WSG28"/>
      <c r="WSH28"/>
      <c r="WSI28"/>
      <c r="WSJ28"/>
      <c r="WSK28"/>
      <c r="WSL28"/>
      <c r="WSM28"/>
      <c r="WSN28"/>
      <c r="WSO28"/>
      <c r="WSP28"/>
      <c r="WSQ28"/>
      <c r="WSR28"/>
      <c r="WSS28"/>
      <c r="WST28"/>
      <c r="WSU28"/>
      <c r="WSV28"/>
      <c r="WSW28"/>
      <c r="WSX28"/>
      <c r="WSY28"/>
      <c r="WSZ28"/>
      <c r="WTA28"/>
      <c r="WTB28"/>
      <c r="WTC28"/>
      <c r="WTD28"/>
      <c r="WTE28"/>
      <c r="WTF28"/>
      <c r="WTG28"/>
      <c r="WTH28"/>
      <c r="WTI28"/>
      <c r="WTJ28"/>
      <c r="WTK28"/>
      <c r="WTL28"/>
      <c r="WTM28"/>
      <c r="WTN28"/>
      <c r="WTO28"/>
      <c r="WTP28"/>
      <c r="WTQ28"/>
      <c r="WTR28"/>
      <c r="WTS28"/>
      <c r="WTT28"/>
      <c r="WTU28"/>
      <c r="WTV28"/>
      <c r="WTW28"/>
      <c r="WTX28"/>
      <c r="WTY28"/>
      <c r="WTZ28"/>
      <c r="WUA28"/>
      <c r="WUB28"/>
      <c r="WUC28"/>
      <c r="WUD28"/>
      <c r="WUE28"/>
      <c r="WUF28"/>
      <c r="WUG28"/>
      <c r="WUH28"/>
      <c r="WUI28"/>
      <c r="WUJ28"/>
      <c r="WUK28"/>
      <c r="WUL28"/>
      <c r="WUM28"/>
      <c r="WUN28"/>
      <c r="WUO28"/>
      <c r="WUP28"/>
      <c r="WUQ28"/>
      <c r="WUR28"/>
      <c r="WUS28"/>
      <c r="WUT28"/>
      <c r="WUU28"/>
      <c r="WUV28"/>
      <c r="WUW28"/>
      <c r="WUX28"/>
      <c r="WUY28"/>
      <c r="WUZ28"/>
      <c r="WVA28"/>
      <c r="WVB28"/>
      <c r="WVC28"/>
      <c r="WVD28"/>
      <c r="WVE28"/>
      <c r="WVF28"/>
      <c r="WVG28"/>
      <c r="WVH28"/>
      <c r="WVI28"/>
      <c r="WVJ28"/>
      <c r="WVK28"/>
      <c r="WVL28"/>
      <c r="WVM28"/>
      <c r="WVN28"/>
      <c r="WVO28"/>
      <c r="WVP28"/>
      <c r="WVQ28"/>
      <c r="WVR28"/>
      <c r="WVS28"/>
      <c r="WVT28"/>
      <c r="WVU28"/>
      <c r="WVV28"/>
      <c r="WVW28"/>
      <c r="WVX28"/>
      <c r="WVY28"/>
      <c r="WVZ28"/>
      <c r="WWA28"/>
      <c r="WWB28"/>
      <c r="WWC28"/>
      <c r="WWD28"/>
      <c r="WWE28"/>
      <c r="WWF28"/>
      <c r="WWG28"/>
      <c r="WWH28"/>
      <c r="WWI28"/>
      <c r="WWJ28"/>
      <c r="WWK28"/>
      <c r="WWL28"/>
      <c r="WWM28"/>
      <c r="WWN28"/>
      <c r="WWO28"/>
      <c r="WWP28"/>
      <c r="WWQ28"/>
      <c r="WWR28"/>
      <c r="WWS28"/>
      <c r="WWT28"/>
      <c r="WWU28"/>
      <c r="WWV28"/>
      <c r="WWW28"/>
      <c r="WWX28"/>
      <c r="WWY28"/>
      <c r="WWZ28"/>
      <c r="WXA28"/>
      <c r="WXB28"/>
      <c r="WXC28"/>
      <c r="WXD28"/>
      <c r="WXE28"/>
      <c r="WXF28"/>
      <c r="WXG28"/>
      <c r="WXH28"/>
      <c r="WXI28"/>
      <c r="WXJ28"/>
      <c r="WXK28"/>
      <c r="WXL28"/>
      <c r="WXM28"/>
      <c r="WXN28"/>
      <c r="WXO28"/>
      <c r="WXP28"/>
      <c r="WXQ28"/>
      <c r="WXR28"/>
      <c r="WXS28"/>
      <c r="WXT28"/>
      <c r="WXU28"/>
      <c r="WXV28"/>
      <c r="WXW28"/>
      <c r="WXX28"/>
      <c r="WXY28"/>
      <c r="WXZ28"/>
      <c r="WYA28"/>
      <c r="WYB28"/>
      <c r="WYC28"/>
      <c r="WYD28"/>
      <c r="WYE28"/>
      <c r="WYF28"/>
      <c r="WYG28"/>
      <c r="WYH28"/>
      <c r="WYI28"/>
      <c r="WYJ28"/>
      <c r="WYK28"/>
      <c r="WYL28"/>
      <c r="WYM28"/>
      <c r="WYN28"/>
      <c r="WYO28"/>
      <c r="WYP28"/>
      <c r="WYQ28"/>
      <c r="WYR28"/>
      <c r="WYS28"/>
      <c r="WYT28"/>
      <c r="WYU28"/>
      <c r="WYV28"/>
      <c r="WYW28"/>
      <c r="WYX28"/>
      <c r="WYY28"/>
      <c r="WYZ28"/>
      <c r="WZA28"/>
      <c r="WZB28"/>
      <c r="WZC28"/>
      <c r="WZD28"/>
      <c r="WZE28"/>
      <c r="WZF28"/>
      <c r="WZG28"/>
      <c r="WZH28"/>
      <c r="WZI28"/>
      <c r="WZJ28"/>
      <c r="WZK28"/>
      <c r="WZL28"/>
      <c r="WZM28"/>
      <c r="WZN28"/>
      <c r="WZO28"/>
      <c r="WZP28"/>
      <c r="WZQ28"/>
      <c r="WZR28"/>
      <c r="WZS28"/>
      <c r="WZT28"/>
      <c r="WZU28"/>
      <c r="WZV28"/>
      <c r="WZW28"/>
      <c r="WZX28"/>
      <c r="WZY28"/>
      <c r="WZZ28"/>
      <c r="XAA28"/>
      <c r="XAB28"/>
      <c r="XAC28"/>
      <c r="XAD28"/>
      <c r="XAE28"/>
      <c r="XAF28"/>
      <c r="XAG28"/>
      <c r="XAH28"/>
      <c r="XAI28"/>
      <c r="XAJ28"/>
      <c r="XAK28"/>
      <c r="XAL28"/>
      <c r="XAM28"/>
      <c r="XAN28"/>
      <c r="XAO28"/>
      <c r="XAP28"/>
      <c r="XAQ28"/>
      <c r="XAR28"/>
      <c r="XAS28"/>
      <c r="XAT28"/>
      <c r="XAU28"/>
      <c r="XAV28"/>
      <c r="XAW28"/>
      <c r="XAX28"/>
      <c r="XAY28"/>
      <c r="XAZ28"/>
      <c r="XBA28"/>
      <c r="XBB28"/>
      <c r="XBC28"/>
      <c r="XBD28"/>
      <c r="XBE28"/>
      <c r="XBF28"/>
      <c r="XBG28"/>
      <c r="XBH28"/>
      <c r="XBI28"/>
      <c r="XBJ28"/>
      <c r="XBK28"/>
      <c r="XBL28"/>
      <c r="XBM28"/>
      <c r="XBN28"/>
      <c r="XBO28"/>
      <c r="XBP28"/>
      <c r="XBQ28"/>
      <c r="XBR28"/>
      <c r="XBS28"/>
      <c r="XBT28"/>
      <c r="XBU28"/>
      <c r="XBV28"/>
      <c r="XBW28"/>
      <c r="XBX28"/>
      <c r="XBY28"/>
      <c r="XBZ28"/>
      <c r="XCA28"/>
      <c r="XCB28"/>
      <c r="XCC28"/>
      <c r="XCD28"/>
      <c r="XCE28"/>
      <c r="XCF28"/>
      <c r="XCG28"/>
      <c r="XCH28"/>
      <c r="XCI28"/>
      <c r="XCJ28"/>
      <c r="XCK28"/>
      <c r="XCL28"/>
      <c r="XCM28"/>
      <c r="XCN28"/>
      <c r="XCO28"/>
      <c r="XCP28"/>
      <c r="XCQ28"/>
      <c r="XCR28"/>
      <c r="XCS28"/>
      <c r="XCT28"/>
      <c r="XCU28"/>
      <c r="XCV28"/>
      <c r="XCW28"/>
      <c r="XCX28"/>
      <c r="XCY28"/>
      <c r="XCZ28"/>
      <c r="XDA28"/>
      <c r="XDB28"/>
      <c r="XDC28"/>
      <c r="XDD28"/>
      <c r="XDE28"/>
      <c r="XDF28"/>
      <c r="XDG28"/>
      <c r="XDH28"/>
      <c r="XDI28"/>
      <c r="XDJ28"/>
      <c r="XDK28"/>
      <c r="XDL28"/>
      <c r="XDM28"/>
      <c r="XDN28"/>
      <c r="XDO28"/>
      <c r="XDP28"/>
      <c r="XDQ28"/>
      <c r="XDR28"/>
      <c r="XDS28"/>
      <c r="XDT28"/>
      <c r="XDU28"/>
      <c r="XDV28"/>
      <c r="XDW28"/>
      <c r="XDX28"/>
      <c r="XDY28"/>
      <c r="XDZ28"/>
      <c r="XEA28"/>
      <c r="XEB28"/>
      <c r="XEC28"/>
      <c r="XED28"/>
      <c r="XEE28"/>
      <c r="XEF28"/>
      <c r="XEG28"/>
      <c r="XEH28"/>
      <c r="XEI28"/>
      <c r="XEJ28"/>
      <c r="XEK28"/>
      <c r="XEL28"/>
      <c r="XEM28"/>
      <c r="XEN28"/>
      <c r="XEO28"/>
      <c r="XEP28"/>
      <c r="XEQ28"/>
      <c r="XER28"/>
      <c r="XES28"/>
      <c r="XET28"/>
      <c r="XEU28"/>
      <c r="XEV28"/>
      <c r="XEW28"/>
      <c r="XEX28"/>
      <c r="XEY28"/>
      <c r="XEZ28"/>
      <c r="XFA28"/>
      <c r="XFB28"/>
      <c r="XFC28"/>
      <c r="XFD28"/>
    </row>
    <row r="29" spans="1:16384" s="44" customFormat="1" ht="21.75" thickBot="1" x14ac:dyDescent="0.4">
      <c r="B29" s="117" t="str">
        <f>B6</f>
        <v>Operator1</v>
      </c>
      <c r="C29" s="117" t="str">
        <f t="shared" ref="C29:D29" si="6">C6</f>
        <v>Operator2</v>
      </c>
      <c r="D29" s="117" t="str">
        <f t="shared" si="6"/>
        <v>Operator3</v>
      </c>
      <c r="E29" s="119" t="str">
        <f>E6</f>
        <v>Operator 4</v>
      </c>
      <c r="F29" s="119" t="str">
        <f>F6</f>
        <v>Operator 5</v>
      </c>
      <c r="G29" s="203" t="s">
        <v>70</v>
      </c>
      <c r="H29" s="202" t="s">
        <v>69</v>
      </c>
      <c r="I29" s="201" t="s">
        <v>68</v>
      </c>
      <c r="J29" s="117" t="str">
        <f>J6</f>
        <v>Operator1</v>
      </c>
      <c r="K29" s="117" t="str">
        <f t="shared" ref="K29:L29" si="7">K6</f>
        <v>Operator2</v>
      </c>
      <c r="L29" s="117" t="str">
        <f t="shared" si="7"/>
        <v>Operator3</v>
      </c>
      <c r="M29" s="119" t="str">
        <f>E29</f>
        <v>Operator 4</v>
      </c>
      <c r="N29" s="119" t="str">
        <f>F29</f>
        <v>Operator 5</v>
      </c>
    </row>
    <row r="30" spans="1:16384" s="44" customFormat="1" ht="19.5" thickBot="1" x14ac:dyDescent="0.35">
      <c r="A30" s="368" t="s">
        <v>67</v>
      </c>
      <c r="B30" s="369"/>
      <c r="C30" s="369"/>
      <c r="D30" s="369"/>
      <c r="E30" s="369"/>
      <c r="F30" s="370"/>
      <c r="G30" s="110"/>
      <c r="H30" s="109"/>
      <c r="I30" s="382">
        <f t="shared" ref="I30:N30" si="8">SUM(I32:I34)</f>
        <v>11.25</v>
      </c>
      <c r="J30" s="345">
        <f t="shared" si="8"/>
        <v>0</v>
      </c>
      <c r="K30" s="345">
        <f t="shared" si="8"/>
        <v>0</v>
      </c>
      <c r="L30" s="345">
        <f t="shared" si="8"/>
        <v>0</v>
      </c>
      <c r="M30" s="345">
        <f t="shared" si="8"/>
        <v>0</v>
      </c>
      <c r="N30" s="345">
        <f t="shared" si="8"/>
        <v>0</v>
      </c>
    </row>
    <row r="31" spans="1:16384" s="44" customFormat="1" ht="21" customHeight="1" thickBot="1" x14ac:dyDescent="0.3">
      <c r="A31" s="114" t="s">
        <v>65</v>
      </c>
      <c r="B31" s="113"/>
      <c r="C31" s="111"/>
      <c r="D31" s="112"/>
      <c r="E31" s="111"/>
      <c r="F31" s="111"/>
      <c r="G31" s="110"/>
      <c r="H31" s="109"/>
      <c r="I31" s="383"/>
      <c r="J31" s="346"/>
      <c r="K31" s="346"/>
      <c r="L31" s="346"/>
      <c r="M31" s="346"/>
      <c r="N31" s="346"/>
    </row>
    <row r="32" spans="1:16384" s="44" customFormat="1" ht="21" x14ac:dyDescent="0.35">
      <c r="A32" s="200" t="s">
        <v>64</v>
      </c>
      <c r="B32" s="105"/>
      <c r="C32" s="105"/>
      <c r="D32" s="106"/>
      <c r="E32" s="105"/>
      <c r="F32" s="105"/>
      <c r="G32" s="104">
        <v>2</v>
      </c>
      <c r="H32" s="103">
        <v>4.3</v>
      </c>
      <c r="I32" s="199">
        <v>3.9374999999999996</v>
      </c>
      <c r="J32" s="96">
        <f>IF(B31&gt;0,IF(B32&lt;=G32,0,IF(B32&gt;=H32,I32,I32*(B32-G32)/(H32-G32))),0)</f>
        <v>0</v>
      </c>
      <c r="K32" s="95">
        <f>IF(C31&gt;0,IF(C32&lt;=G32,0,IF(C32&gt;=H32,I32,I32*(C32-G32)/(H32-G32))),0)</f>
        <v>0</v>
      </c>
      <c r="L32" s="95">
        <f>IF(D31&gt;0,IF(D32&lt;=G32,0,IF(D32&gt;=H32,I32,I32*(D32-G32)/(H32-G32))),0)</f>
        <v>0</v>
      </c>
      <c r="M32" s="95">
        <f>IF(E31&gt;0,IF(E32&lt;=G32,0,IF(E32&gt;=H32,I32,I32*(E32-G32)/(H32-G32))),0)</f>
        <v>0</v>
      </c>
      <c r="N32" s="101">
        <f>IF(F31&gt;0,IF(F32&lt;=G32,0,IF(F32&gt;=H32,I32,I32*(F32-G32)/(H32-G32))),0)</f>
        <v>0</v>
      </c>
    </row>
    <row r="33" spans="1:14" s="44" customFormat="1" ht="21" x14ac:dyDescent="0.35">
      <c r="A33" s="197" t="s">
        <v>63</v>
      </c>
      <c r="B33" s="99"/>
      <c r="C33" s="99"/>
      <c r="D33" s="198"/>
      <c r="E33" s="99"/>
      <c r="F33" s="99"/>
      <c r="G33" s="98">
        <v>0.1</v>
      </c>
      <c r="H33" s="97">
        <v>0</v>
      </c>
      <c r="I33" s="196">
        <v>5.0625</v>
      </c>
      <c r="J33" s="195">
        <f>IF(B31&gt;0,IF(B33&gt;=G33,0,IF(B33&lt;=H33,I33,I33*(B33-G33)/(H33-G33))),0)</f>
        <v>0</v>
      </c>
      <c r="K33" s="94">
        <f>IF(C31&gt;0,IF(C33&gt;=G33,0,IF(C33&lt;=H33,I33,I33*(C33-G33)/(H33-G33))),0)</f>
        <v>0</v>
      </c>
      <c r="L33" s="94">
        <f>IF(D31&gt;0,IF(D33&gt;=G33,0,IF(D33&lt;=H33,I33,I33*(D33-G33)/(H33-G33))),0)</f>
        <v>0</v>
      </c>
      <c r="M33" s="94">
        <f>IF(E31&gt;0,IF(E33&gt;=G33,0,IF(E33&lt;=H33,I33,I33*(E33-G33)/(H33-G33))),0)</f>
        <v>0</v>
      </c>
      <c r="N33" s="93">
        <f>IF(F31&gt;0,IF(F33&gt;=G33,0,IF(F33&lt;=H33,I33,I33*(F33-G33)/(H33-G33))),0)</f>
        <v>0</v>
      </c>
    </row>
    <row r="34" spans="1:14" s="44" customFormat="1" ht="21.75" thickBot="1" x14ac:dyDescent="0.4">
      <c r="A34" s="197" t="s">
        <v>62</v>
      </c>
      <c r="B34" s="89"/>
      <c r="C34" s="89"/>
      <c r="D34" s="90"/>
      <c r="E34" s="89"/>
      <c r="F34" s="89"/>
      <c r="G34" s="88">
        <v>4</v>
      </c>
      <c r="H34" s="87">
        <v>4.75</v>
      </c>
      <c r="I34" s="196">
        <v>2.25</v>
      </c>
      <c r="J34" s="195">
        <f>IF(B31&gt;0,IF(B34&lt;=G34,0,IF(B34&gt;=H34,I34,I34*(B34-G34)/(H34-G34))),0)</f>
        <v>0</v>
      </c>
      <c r="K34" s="94">
        <f>IF(C31&gt;0,IF(C34&lt;=G34,0,IF(C34&gt;=H34,I34,I34*(C34-G34)/(H34-G34))),0)</f>
        <v>0</v>
      </c>
      <c r="L34" s="94">
        <f>IF(D31&gt;0,IF(D34&lt;=G34,0,IF(D34&gt;=H34,I34,I34*(D34-G34)/(H34-G34))),0)</f>
        <v>0</v>
      </c>
      <c r="M34" s="94">
        <f>IF(E31&gt;0,IF(E34&lt;=G34,0,IF(E34&gt;=H34,I34,I34*(E34-G34)/(H34-G34))),0)</f>
        <v>0</v>
      </c>
      <c r="N34" s="93">
        <f>IF(F31&gt;0,IF(F34&lt;=G34,0,IF(F34&gt;=H34,I34,I34*(F34-G34)/(H34-G34))),0)</f>
        <v>0</v>
      </c>
    </row>
    <row r="35" spans="1:14" s="44" customFormat="1" ht="19.5" thickBot="1" x14ac:dyDescent="0.35">
      <c r="A35" s="375" t="s">
        <v>76</v>
      </c>
      <c r="B35" s="376"/>
      <c r="C35" s="376"/>
      <c r="D35" s="376"/>
      <c r="E35" s="376"/>
      <c r="F35" s="377"/>
      <c r="G35" s="190"/>
      <c r="H35" s="189"/>
      <c r="I35" s="378">
        <f t="shared" ref="I35:N35" si="9">SUM(I37:I39)</f>
        <v>3.375</v>
      </c>
      <c r="J35" s="335">
        <f t="shared" si="9"/>
        <v>0</v>
      </c>
      <c r="K35" s="335">
        <f t="shared" si="9"/>
        <v>0</v>
      </c>
      <c r="L35" s="335">
        <f t="shared" si="9"/>
        <v>0</v>
      </c>
      <c r="M35" s="335">
        <f t="shared" si="9"/>
        <v>0</v>
      </c>
      <c r="N35" s="335">
        <f t="shared" si="9"/>
        <v>0</v>
      </c>
    </row>
    <row r="36" spans="1:14" s="44" customFormat="1" ht="21" customHeight="1" thickBot="1" x14ac:dyDescent="0.3">
      <c r="A36" s="194" t="s">
        <v>65</v>
      </c>
      <c r="B36" s="193"/>
      <c r="C36" s="191"/>
      <c r="D36" s="192"/>
      <c r="E36" s="191"/>
      <c r="F36" s="191"/>
      <c r="G36" s="190"/>
      <c r="H36" s="189"/>
      <c r="I36" s="379"/>
      <c r="J36" s="336"/>
      <c r="K36" s="336"/>
      <c r="L36" s="336"/>
      <c r="M36" s="336"/>
      <c r="N36" s="336"/>
    </row>
    <row r="37" spans="1:14" s="44" customFormat="1" ht="21" x14ac:dyDescent="0.35">
      <c r="A37" s="188" t="s">
        <v>64</v>
      </c>
      <c r="B37" s="186"/>
      <c r="C37" s="186"/>
      <c r="D37" s="187"/>
      <c r="E37" s="186"/>
      <c r="F37" s="186"/>
      <c r="G37" s="185">
        <v>2</v>
      </c>
      <c r="H37" s="184">
        <v>4.3</v>
      </c>
      <c r="I37" s="183">
        <v>1.1812499999999999</v>
      </c>
      <c r="J37" s="182">
        <f>IF(B31&gt;0,IF(B37&lt;=G37,0,IF(B37&gt;=H37,I37,I37*(B37-G37)/(H37-G37))),0)</f>
        <v>0</v>
      </c>
      <c r="K37" s="181">
        <f>IF(C31&gt;0,IF(C37&lt;=G37,0,IF(C37&gt;=H37,I37,I37*(C37-G37)/(H37-G37))),0)</f>
        <v>0</v>
      </c>
      <c r="L37" s="181">
        <f>IF(D31&gt;0,IF(D37&lt;=G37,0,IF(D37&gt;=H37,I37,I37*(D37-G37)/(H37-G37))),0)</f>
        <v>0</v>
      </c>
      <c r="M37" s="181">
        <f>IF(E31&gt;0,IF(E37&lt;=G37,0,IF(E37&gt;=H37,I37,I37*(E37-G37)/(H37-G37))),0)</f>
        <v>0</v>
      </c>
      <c r="N37" s="180">
        <f>IF(F31&gt;0,IF(F37&lt;=G37,0,IF(F37&gt;=H37,I37,I37*(F37-G37)/(H37-G37))),0)</f>
        <v>0</v>
      </c>
    </row>
    <row r="38" spans="1:14" s="44" customFormat="1" ht="21" x14ac:dyDescent="0.35">
      <c r="A38" s="175" t="s">
        <v>63</v>
      </c>
      <c r="B38" s="178"/>
      <c r="C38" s="178"/>
      <c r="D38" s="179"/>
      <c r="E38" s="178"/>
      <c r="F38" s="178"/>
      <c r="G38" s="177">
        <v>0.1</v>
      </c>
      <c r="H38" s="176">
        <v>0</v>
      </c>
      <c r="I38" s="170">
        <v>1.51875</v>
      </c>
      <c r="J38" s="169">
        <f>IF(B31&gt;0,IF(B38&gt;=G38,0,IF(B38&lt;=H38,I38,I38*(B38-G38)/(H38-G38))),0)</f>
        <v>0</v>
      </c>
      <c r="K38" s="168">
        <f>IF(C31&gt;0,IF(C38&gt;=G38,0,IF(C38&lt;=H38,I38,I38*(C38-G38)/(H38-G38))),0)</f>
        <v>0</v>
      </c>
      <c r="L38" s="168">
        <f>IF(D31&gt;0,IF(D38&gt;=G38,0,IF(D38&lt;=H38,I38,I38*(D38-G38)/(H38-G38))),0)</f>
        <v>0</v>
      </c>
      <c r="M38" s="168">
        <f>IF(E31&gt;0,IF(E38&gt;=G38,0,IF(E38&lt;=H38,I38,I38*(E38-G38)/(H38-G38))),0)</f>
        <v>0</v>
      </c>
      <c r="N38" s="167">
        <f>IF(F31&gt;0,IF(F38&gt;=G38,0,IF(F38&lt;=H38,I38,I38*(F38-G38)/(H38-G38))),0)</f>
        <v>0</v>
      </c>
    </row>
    <row r="39" spans="1:14" s="44" customFormat="1" ht="21.75" thickBot="1" x14ac:dyDescent="0.4">
      <c r="A39" s="175" t="s">
        <v>62</v>
      </c>
      <c r="B39" s="173"/>
      <c r="C39" s="173"/>
      <c r="D39" s="174"/>
      <c r="E39" s="173"/>
      <c r="F39" s="173"/>
      <c r="G39" s="172">
        <v>4</v>
      </c>
      <c r="H39" s="171">
        <v>4.75</v>
      </c>
      <c r="I39" s="170">
        <v>0.67499999999999993</v>
      </c>
      <c r="J39" s="169">
        <f>IF(B31&gt;0,IF(B39&lt;=G39,0,IF(B39&gt;=H39,I39,I39*(B39-G39)/(H39-G39))),0)</f>
        <v>0</v>
      </c>
      <c r="K39" s="168">
        <f>IF(C31&gt;0,IF(C39&lt;=G39,0,IF(C39&gt;=H39,I39,I39*(C39-G39)/(H39-G39))),0)</f>
        <v>0</v>
      </c>
      <c r="L39" s="168">
        <f>IF(D31&gt;0,IF(D39&lt;=G39,0,IF(D39&gt;=H39,I39,I39*(D39-G39)/(H39-G39))),0)</f>
        <v>0</v>
      </c>
      <c r="M39" s="168">
        <f>IF(E31&gt;0,IF(E39&lt;=G39,0,IF(E39&gt;=H39,I39,I39*(E39-G39)/(H39-G39))),0)</f>
        <v>0</v>
      </c>
      <c r="N39" s="167">
        <f>IF(F31&gt;0,IF(F39&lt;=G39,0,IF(F39&gt;=H39,I39,I39*(F39-G39)/(H39-G39))),0)</f>
        <v>0</v>
      </c>
    </row>
    <row r="40" spans="1:14" s="44" customFormat="1" ht="19.5" thickBot="1" x14ac:dyDescent="0.35">
      <c r="A40" s="386" t="s">
        <v>66</v>
      </c>
      <c r="B40" s="372"/>
      <c r="C40" s="372"/>
      <c r="D40" s="372"/>
      <c r="E40" s="372"/>
      <c r="F40" s="387"/>
      <c r="G40" s="164"/>
      <c r="H40" s="76"/>
      <c r="I40" s="380">
        <f t="shared" ref="I40:N40" si="10">SUM(I42:I44)</f>
        <v>5.625</v>
      </c>
      <c r="J40" s="337">
        <f t="shared" si="10"/>
        <v>0</v>
      </c>
      <c r="K40" s="337">
        <f t="shared" si="10"/>
        <v>0</v>
      </c>
      <c r="L40" s="337">
        <f t="shared" si="10"/>
        <v>0</v>
      </c>
      <c r="M40" s="337">
        <f t="shared" si="10"/>
        <v>0</v>
      </c>
      <c r="N40" s="337">
        <f t="shared" si="10"/>
        <v>0</v>
      </c>
    </row>
    <row r="41" spans="1:14" s="44" customFormat="1" ht="21" customHeight="1" thickBot="1" x14ac:dyDescent="0.3">
      <c r="A41" s="166" t="s">
        <v>65</v>
      </c>
      <c r="B41" s="79"/>
      <c r="C41" s="78"/>
      <c r="D41" s="165"/>
      <c r="E41" s="78"/>
      <c r="F41" s="78"/>
      <c r="G41" s="164"/>
      <c r="H41" s="76"/>
      <c r="I41" s="381"/>
      <c r="J41" s="338"/>
      <c r="K41" s="338"/>
      <c r="L41" s="338"/>
      <c r="M41" s="338"/>
      <c r="N41" s="338"/>
    </row>
    <row r="42" spans="1:14" s="44" customFormat="1" ht="21" x14ac:dyDescent="0.35">
      <c r="A42" s="163" t="s">
        <v>64</v>
      </c>
      <c r="B42" s="73"/>
      <c r="C42" s="73"/>
      <c r="D42" s="162"/>
      <c r="E42" s="73"/>
      <c r="F42" s="73"/>
      <c r="G42" s="161">
        <v>2</v>
      </c>
      <c r="H42" s="70">
        <v>4.3</v>
      </c>
      <c r="I42" s="160">
        <v>1.9687499999999998</v>
      </c>
      <c r="J42" s="68">
        <f>IF(B31&gt;0,IF(B42&lt;=G42,0,IF(B42&gt;=H42,I42,I42*(B42-G42)/(H42-G42))),0)</f>
        <v>0</v>
      </c>
      <c r="K42" s="67">
        <f>IF(C31&gt;0,IF(C42&lt;=G42,0,IF(C42&gt;=H42,I42,I42*(C42-G42)/(H42-G42))),0)</f>
        <v>0</v>
      </c>
      <c r="L42" s="67">
        <f>IF(D31&gt;0,IF(D42&lt;=G42,0,IF(D42&gt;=H42,I42,I42*(D42-G42)/(H42-G42))),0)</f>
        <v>0</v>
      </c>
      <c r="M42" s="67">
        <f>IF(E31&gt;0,IF(E42&lt;=G42,0,IF(E42&gt;=H42,I42,I42*(E42-G42)/(H42-G42))),0)</f>
        <v>0</v>
      </c>
      <c r="N42" s="66">
        <f>IF(F31&gt;0,IF(F42&lt;=G42,0,IF(F42&gt;=H42,I42,I42*(F42-G42)/(H42-G42))),0)</f>
        <v>0</v>
      </c>
    </row>
    <row r="43" spans="1:14" s="44" customFormat="1" ht="21" x14ac:dyDescent="0.35">
      <c r="A43" s="157" t="s">
        <v>63</v>
      </c>
      <c r="B43" s="63"/>
      <c r="C43" s="63"/>
      <c r="D43" s="159"/>
      <c r="E43" s="63"/>
      <c r="F43" s="63"/>
      <c r="G43" s="158">
        <v>0.1</v>
      </c>
      <c r="H43" s="60">
        <v>0</v>
      </c>
      <c r="I43" s="152">
        <v>2.53125</v>
      </c>
      <c r="J43" s="58">
        <f>IF(B31&gt;0,IF(B43&gt;=G43,0,IF(B43&lt;=H43,I43,I43*(B43-G43)/(H43-G43))),0)</f>
        <v>0</v>
      </c>
      <c r="K43" s="57">
        <f>IF(C31&gt;0,IF(C43&gt;=G43,0,IF(C43&lt;=H43,I43,I43*(C43-G43)/(H43-G43))),0)</f>
        <v>0</v>
      </c>
      <c r="L43" s="57">
        <f>IF(D31&gt;0,IF(D43&gt;=G43,0,IF(D43&lt;=H43,I43,I43*(D43-G43)/(H43-G43))),0)</f>
        <v>0</v>
      </c>
      <c r="M43" s="57">
        <f>IF(E31&gt;0,IF(E43&gt;=G43,0,IF(E43&lt;=H43,I43,I43*(E43-G43)/(H43-G43))),0)</f>
        <v>0</v>
      </c>
      <c r="N43" s="56">
        <f>IF(F31&gt;0,IF(F43&gt;=G43,0,IF(F43&lt;=H43,I43,I43*(F43-G43)/(H43-G43))),0)</f>
        <v>0</v>
      </c>
    </row>
    <row r="44" spans="1:14" s="44" customFormat="1" ht="21.75" thickBot="1" x14ac:dyDescent="0.4">
      <c r="A44" s="157" t="s">
        <v>62</v>
      </c>
      <c r="B44" s="155"/>
      <c r="C44" s="155"/>
      <c r="D44" s="156"/>
      <c r="E44" s="155"/>
      <c r="F44" s="155"/>
      <c r="G44" s="154">
        <v>4</v>
      </c>
      <c r="H44" s="153">
        <v>4.75</v>
      </c>
      <c r="I44" s="152">
        <v>1.125</v>
      </c>
      <c r="J44" s="58">
        <f>IF(B31&gt;0,IF(B44&lt;=G44,0,IF(B44&gt;=H44,I44,I44*(B44-G44)/(H44-G44))),0)</f>
        <v>0</v>
      </c>
      <c r="K44" s="57">
        <f>IF(C31&gt;0,IF(C44&lt;=G44,0,IF(C44&gt;=H44,I44,I44*(C44-G44)/(H44-G44))),0)</f>
        <v>0</v>
      </c>
      <c r="L44" s="57">
        <f>IF(D31&gt;0,IF(D44&lt;=G44,0,IF(D44&gt;=H44,I44,I44*(D44-G44)/(H44-G44))),0)</f>
        <v>0</v>
      </c>
      <c r="M44" s="57">
        <f>IF(E31&gt;0,IF(E44&lt;=G44,0,IF(E44&gt;=H44,I44,I44*(E44-G44)/(H44-G44))),0)</f>
        <v>0</v>
      </c>
      <c r="N44" s="56">
        <f>IF(F31&gt;0,IF(F44&lt;=G44,0,IF(F44&gt;=H44,I44,I44*(F44-G44)/(H44-G44))),0)</f>
        <v>0</v>
      </c>
    </row>
    <row r="45" spans="1:14" s="44" customFormat="1" ht="19.5" thickBot="1" x14ac:dyDescent="0.35">
      <c r="A45" s="388" t="s">
        <v>75</v>
      </c>
      <c r="B45" s="389"/>
      <c r="C45" s="389"/>
      <c r="D45" s="389"/>
      <c r="E45" s="389"/>
      <c r="F45" s="390"/>
      <c r="G45" s="147"/>
      <c r="H45" s="146"/>
      <c r="I45" s="384">
        <f t="shared" ref="I45:N45" si="11">SUM(I47:I49)</f>
        <v>2.25</v>
      </c>
      <c r="J45" s="333">
        <f t="shared" si="11"/>
        <v>0</v>
      </c>
      <c r="K45" s="333">
        <f t="shared" si="11"/>
        <v>0</v>
      </c>
      <c r="L45" s="333">
        <f t="shared" si="11"/>
        <v>0</v>
      </c>
      <c r="M45" s="333">
        <f t="shared" si="11"/>
        <v>0</v>
      </c>
      <c r="N45" s="333">
        <f t="shared" si="11"/>
        <v>0</v>
      </c>
    </row>
    <row r="46" spans="1:14" s="44" customFormat="1" ht="21" customHeight="1" thickBot="1" x14ac:dyDescent="0.3">
      <c r="A46" s="151" t="s">
        <v>65</v>
      </c>
      <c r="B46" s="150"/>
      <c r="C46" s="148"/>
      <c r="D46" s="149"/>
      <c r="E46" s="148"/>
      <c r="F46" s="148"/>
      <c r="G46" s="147"/>
      <c r="H46" s="146"/>
      <c r="I46" s="385"/>
      <c r="J46" s="334"/>
      <c r="K46" s="334"/>
      <c r="L46" s="334"/>
      <c r="M46" s="334"/>
      <c r="N46" s="334"/>
    </row>
    <row r="47" spans="1:14" s="44" customFormat="1" ht="21" x14ac:dyDescent="0.35">
      <c r="A47" s="145" t="s">
        <v>64</v>
      </c>
      <c r="B47" s="143"/>
      <c r="C47" s="143"/>
      <c r="D47" s="144"/>
      <c r="E47" s="143"/>
      <c r="F47" s="143"/>
      <c r="G47" s="142">
        <v>2</v>
      </c>
      <c r="H47" s="141">
        <v>4.3</v>
      </c>
      <c r="I47" s="140">
        <v>0.78749999999999998</v>
      </c>
      <c r="J47" s="139">
        <f>IF(B31&gt;0,IF(B47&lt;=G47,0,IF(B47&gt;=H47,I47,I47*(B47-G47)/(H47-G47))),0)</f>
        <v>0</v>
      </c>
      <c r="K47" s="138">
        <f>IF(C31&gt;0,IF(C47&lt;=G47,0,IF(C47&gt;=H47,I47,I47*(C47-G47)/(H47-G47))),0)</f>
        <v>0</v>
      </c>
      <c r="L47" s="138">
        <f>IF(D31&gt;0,IF(D47&lt;=G47,0,IF(D47&gt;=H47,I47,I47*(D47-G47)/(H47-G47))),0)</f>
        <v>0</v>
      </c>
      <c r="M47" s="138">
        <f>IF(E31&gt;0,IF(E47&lt;=G47,0,IF(E47&gt;=H47,I47,I47*(E47-G47)/(H47-G47))),0)</f>
        <v>0</v>
      </c>
      <c r="N47" s="137">
        <f>IF(F31&gt;0,IF(F47&lt;=G47,0,IF(F47&gt;=H47,I47,I47*(F47-G47)/(H47-G47))),0)</f>
        <v>0</v>
      </c>
    </row>
    <row r="48" spans="1:14" s="44" customFormat="1" ht="21" x14ac:dyDescent="0.35">
      <c r="A48" s="132" t="s">
        <v>63</v>
      </c>
      <c r="B48" s="135"/>
      <c r="C48" s="135"/>
      <c r="D48" s="136"/>
      <c r="E48" s="135"/>
      <c r="F48" s="135"/>
      <c r="G48" s="134">
        <v>0.1</v>
      </c>
      <c r="H48" s="133">
        <v>0</v>
      </c>
      <c r="I48" s="127">
        <v>1.0125</v>
      </c>
      <c r="J48" s="126">
        <f>IF(B31&gt;0,IF(B48&gt;=G48,0,IF(B48&lt;=H48,I48,I48*(B48-G48)/(H48-G48))),0)</f>
        <v>0</v>
      </c>
      <c r="K48" s="125">
        <f>IF(C31&gt;0,IF(C48&gt;=G48,0,IF(C48&lt;=H48,I48,I48*(C48-G48)/(H48-G48))),0)</f>
        <v>0</v>
      </c>
      <c r="L48" s="125">
        <f>IF(D31&gt;0,IF(D48&gt;=G48,0,IF(D48&lt;=H48,I48,I48*(D48-G48)/(H48-G48))),0)</f>
        <v>0</v>
      </c>
      <c r="M48" s="125">
        <f>IF(E31&gt;0,IF(E48&gt;=G48,0,IF(E48&lt;=H48,I48,I48*(E48-G48)/(H48-G48))),0)</f>
        <v>0</v>
      </c>
      <c r="N48" s="124">
        <f>IF(F31&gt;0,IF(F48&gt;=G48,0,IF(F48&lt;=H48,I48,I48*(F48-G48)/(H48-G48))),0)</f>
        <v>0</v>
      </c>
    </row>
    <row r="49" spans="1:14" s="44" customFormat="1" ht="21" x14ac:dyDescent="0.35">
      <c r="A49" s="132" t="s">
        <v>62</v>
      </c>
      <c r="B49" s="130"/>
      <c r="C49" s="130"/>
      <c r="D49" s="131"/>
      <c r="E49" s="130"/>
      <c r="F49" s="130"/>
      <c r="G49" s="129">
        <v>4</v>
      </c>
      <c r="H49" s="128">
        <v>4.75</v>
      </c>
      <c r="I49" s="127">
        <v>0.45</v>
      </c>
      <c r="J49" s="126">
        <f>IF(B31&gt;0,IF(B49&lt;=G49,0,IF(B49&gt;=H49,I49,I49*(B49-G49)/(H49-G49))),0)</f>
        <v>0</v>
      </c>
      <c r="K49" s="125">
        <f>IF(C31&gt;0,IF(C49&lt;=G49,0,IF(C49&gt;=H49,I49,I49*(C49-G49)/(H49-G49))),0)</f>
        <v>0</v>
      </c>
      <c r="L49" s="125">
        <f>IF(D31&gt;0,IF(D49&lt;=G49,0,IF(D49&gt;=H49,I49,I49*(D49-G49)/(H49-G49))),0)</f>
        <v>0</v>
      </c>
      <c r="M49" s="125">
        <f>IF(E31&gt;0,IF(E49&lt;=G49,0,IF(E49&gt;=H49,I49,I49*(E49-G49)/(H49-G49))),0)</f>
        <v>0</v>
      </c>
      <c r="N49" s="124">
        <f>IF(F31&gt;0,IF(F49&lt;=G49,0,IF(F49&gt;=H49,I49,I49*(F49-G49)/(H49-G49))),0)</f>
        <v>0</v>
      </c>
    </row>
    <row r="53" spans="1:14" ht="27.75" customHeight="1" thickBot="1" x14ac:dyDescent="0.3">
      <c r="A53" s="393" t="s">
        <v>74</v>
      </c>
      <c r="B53" s="394"/>
      <c r="C53" s="394"/>
      <c r="D53" s="123"/>
      <c r="E53" s="123"/>
      <c r="F53" s="123"/>
      <c r="G53" s="123"/>
      <c r="H53" s="123"/>
      <c r="I53" s="122">
        <f t="shared" ref="I53:N53" si="12">I56+I61</f>
        <v>50</v>
      </c>
      <c r="J53" s="121">
        <f t="shared" si="12"/>
        <v>0</v>
      </c>
      <c r="K53" s="121">
        <f t="shared" si="12"/>
        <v>0</v>
      </c>
      <c r="L53" s="121">
        <f t="shared" si="12"/>
        <v>0</v>
      </c>
      <c r="M53" s="121">
        <f t="shared" si="12"/>
        <v>0</v>
      </c>
      <c r="N53" s="121">
        <f t="shared" si="12"/>
        <v>0</v>
      </c>
    </row>
    <row r="54" spans="1:14" ht="27" thickBot="1" x14ac:dyDescent="0.45">
      <c r="A54" s="120" t="s">
        <v>356</v>
      </c>
      <c r="B54" s="347" t="s">
        <v>73</v>
      </c>
      <c r="C54" s="348"/>
      <c r="D54" s="348"/>
      <c r="E54" s="348"/>
      <c r="F54" s="349"/>
      <c r="G54" s="347" t="s">
        <v>72</v>
      </c>
      <c r="H54" s="348"/>
      <c r="I54" s="349"/>
      <c r="J54" s="347" t="s">
        <v>71</v>
      </c>
      <c r="K54" s="348"/>
      <c r="L54" s="348"/>
      <c r="M54" s="348"/>
      <c r="N54" s="349"/>
    </row>
    <row r="55" spans="1:14" ht="21.75" thickBot="1" x14ac:dyDescent="0.4">
      <c r="A55" s="44"/>
      <c r="B55" s="117" t="str">
        <f>B6</f>
        <v>Operator1</v>
      </c>
      <c r="C55" s="117" t="str">
        <f t="shared" ref="C55:D55" si="13">C6</f>
        <v>Operator2</v>
      </c>
      <c r="D55" s="117" t="str">
        <f t="shared" si="13"/>
        <v>Operator3</v>
      </c>
      <c r="E55" s="119" t="e">
        <f>#REF!</f>
        <v>#REF!</v>
      </c>
      <c r="F55" s="119" t="e">
        <f>#REF!</f>
        <v>#REF!</v>
      </c>
      <c r="G55" s="118" t="s">
        <v>70</v>
      </c>
      <c r="H55" s="118" t="s">
        <v>69</v>
      </c>
      <c r="I55" s="118" t="s">
        <v>68</v>
      </c>
      <c r="J55" s="117" t="str">
        <f>B6</f>
        <v>Operator1</v>
      </c>
      <c r="K55" s="117" t="str">
        <f t="shared" ref="K55:L55" si="14">C6</f>
        <v>Operator2</v>
      </c>
      <c r="L55" s="117" t="str">
        <f t="shared" si="14"/>
        <v>Operator3</v>
      </c>
      <c r="M55" s="117" t="e">
        <f>E55</f>
        <v>#REF!</v>
      </c>
      <c r="N55" s="117" t="e">
        <f>F55</f>
        <v>#REF!</v>
      </c>
    </row>
    <row r="56" spans="1:14" ht="22.5" customHeight="1" thickBot="1" x14ac:dyDescent="0.35">
      <c r="A56" s="368" t="s">
        <v>67</v>
      </c>
      <c r="B56" s="369"/>
      <c r="C56" s="369"/>
      <c r="D56" s="369"/>
      <c r="E56" s="369"/>
      <c r="F56" s="370"/>
      <c r="G56" s="116"/>
      <c r="H56" s="115"/>
      <c r="I56" s="382">
        <f t="shared" ref="I56:N56" si="15">SUM(I58:I60)</f>
        <v>32.5</v>
      </c>
      <c r="J56" s="362">
        <f t="shared" si="15"/>
        <v>0</v>
      </c>
      <c r="K56" s="364">
        <f t="shared" si="15"/>
        <v>0</v>
      </c>
      <c r="L56" s="364">
        <f t="shared" si="15"/>
        <v>0</v>
      </c>
      <c r="M56" s="364">
        <f t="shared" si="15"/>
        <v>0</v>
      </c>
      <c r="N56" s="360">
        <f t="shared" si="15"/>
        <v>0</v>
      </c>
    </row>
    <row r="57" spans="1:14" ht="21" customHeight="1" thickBot="1" x14ac:dyDescent="0.3">
      <c r="A57" s="114" t="s">
        <v>65</v>
      </c>
      <c r="B57" s="113"/>
      <c r="C57" s="111"/>
      <c r="D57" s="112"/>
      <c r="E57" s="111"/>
      <c r="F57" s="111"/>
      <c r="G57" s="110"/>
      <c r="H57" s="109"/>
      <c r="I57" s="383"/>
      <c r="J57" s="363"/>
      <c r="K57" s="365"/>
      <c r="L57" s="365"/>
      <c r="M57" s="365"/>
      <c r="N57" s="361"/>
    </row>
    <row r="58" spans="1:14" ht="21" customHeight="1" x14ac:dyDescent="0.35">
      <c r="A58" s="108" t="s">
        <v>64</v>
      </c>
      <c r="B58" s="107"/>
      <c r="C58" s="105"/>
      <c r="D58" s="106"/>
      <c r="E58" s="105"/>
      <c r="F58" s="105"/>
      <c r="G58" s="104">
        <v>2</v>
      </c>
      <c r="H58" s="103">
        <v>4.3</v>
      </c>
      <c r="I58" s="102">
        <v>11.375</v>
      </c>
      <c r="J58" s="96">
        <f>IF(B57 &gt; 0,IF(B58&lt;=G58,0,IF(B58&gt;=H58,I58,I58*(B58-G58)/(H58-G58))),0)</f>
        <v>0</v>
      </c>
      <c r="K58" s="95">
        <f>IF(C57 &gt; 0,IF(C58&lt;=G58,0,IF(C58&gt;=H58,I58,I58*(C58-G58)/(H58-G58))),0)</f>
        <v>0</v>
      </c>
      <c r="L58" s="95">
        <f>IF(D57&gt;0,IF(D58&lt;=G58,0,IF(D58&gt;=H58,I58,I58*(D58-G58)/(H58-G58))),0)</f>
        <v>0</v>
      </c>
      <c r="M58" s="95">
        <f>IF(E57&gt;0,IF(E58&lt;=G58,0,IF(E58&gt;=H58,I58,I58*(E58-G58)/(H58-G58))),0)</f>
        <v>0</v>
      </c>
      <c r="N58" s="101">
        <f>IF(F57&gt;0,IF(F58&lt;=G58,0,IF(F58&gt;=H58,I58,I58*(F58-G58)/(H58-G58))),0)</f>
        <v>0</v>
      </c>
    </row>
    <row r="59" spans="1:14" ht="21" customHeight="1" x14ac:dyDescent="0.35">
      <c r="A59" s="92" t="s">
        <v>63</v>
      </c>
      <c r="B59" s="100"/>
      <c r="C59" s="99"/>
      <c r="D59" s="99"/>
      <c r="E59" s="99"/>
      <c r="F59" s="99"/>
      <c r="G59" s="98">
        <v>0.1</v>
      </c>
      <c r="H59" s="97">
        <v>0</v>
      </c>
      <c r="I59" s="86">
        <v>14.625</v>
      </c>
      <c r="J59" s="96">
        <f>IF(B57 &gt; 0,IF(B59&gt;=G59,0,IF(B59&lt;=H59,I59,I59*(B59-G59)/(H59-G59))),0)</f>
        <v>0</v>
      </c>
      <c r="K59" s="95">
        <f>IF(C57 &gt; 0,IF(C59&gt;=G59,0,IF(C59&lt;=H59,I59,I59*(C59-G59)/(H59-G59))),0)</f>
        <v>0</v>
      </c>
      <c r="L59" s="95">
        <f>IF(D57&gt;0,IF(D59&gt;=G59,0,IF(D59&lt;=H59,I59,I59*(D59-G59)/(H59-G59))),0)</f>
        <v>0</v>
      </c>
      <c r="M59" s="94">
        <f>IF(E57&gt;0,IF(E59&gt;=G59,0,IF(E59&lt;=H59,I59,I59*(E59-G59)/(H59-G59))),0)</f>
        <v>0</v>
      </c>
      <c r="N59" s="93">
        <f>IF(F57&gt;0,IF(F59&gt;=G59,0,IF(F59&lt;=H59,I59,I59*(F59-G59)/(H59-G59))),0)</f>
        <v>0</v>
      </c>
    </row>
    <row r="60" spans="1:14" ht="21" customHeight="1" thickBot="1" x14ac:dyDescent="0.4">
      <c r="A60" s="92" t="s">
        <v>62</v>
      </c>
      <c r="B60" s="91"/>
      <c r="C60" s="89"/>
      <c r="D60" s="90"/>
      <c r="E60" s="89"/>
      <c r="F60" s="89"/>
      <c r="G60" s="88">
        <v>4</v>
      </c>
      <c r="H60" s="87">
        <v>4.75</v>
      </c>
      <c r="I60" s="86">
        <v>6.5</v>
      </c>
      <c r="J60" s="85">
        <f>IF(B57 &gt; 0,IF(B60&lt;=G60,0,IF(B60&gt;=H60,I60,I60*(B60-G60)/(H60-G60))),0)</f>
        <v>0</v>
      </c>
      <c r="K60" s="84">
        <f>IF(C57 &gt; 0,IF(C60&lt;=G60,0,IF(C60&gt;=H60,I60,I60*(C60-G60)/(H60-G60))),0)</f>
        <v>0</v>
      </c>
      <c r="L60" s="84">
        <f>IF(D57&gt;0,IF(D60&lt;=G60,0,IF(D60&gt;=H60,I60,I60*(D60-G60)/(H60-G60))),0)</f>
        <v>0</v>
      </c>
      <c r="M60" s="83">
        <f>IF(E57&gt;0,IF(E60&lt;=G60,0,IF(E60&gt;=H60,I60,I60*(E60-G60)/(H60-G60))),0)</f>
        <v>0</v>
      </c>
      <c r="N60" s="82">
        <f>IF(F57&gt;0,IF(F60&lt;=G60,0,IF(F60&gt;=H60,I60,I60*(F60-G60)/(H60-G60))),0)</f>
        <v>0</v>
      </c>
    </row>
    <row r="61" spans="1:14" ht="19.5" thickBot="1" x14ac:dyDescent="0.35">
      <c r="A61" s="371" t="s">
        <v>66</v>
      </c>
      <c r="B61" s="395"/>
      <c r="C61" s="395"/>
      <c r="D61" s="395"/>
      <c r="E61" s="395"/>
      <c r="F61" s="395"/>
      <c r="G61" s="81"/>
      <c r="H61" s="81"/>
      <c r="I61" s="380">
        <f t="shared" ref="I61:N61" si="16">SUM(I63:I65)</f>
        <v>17.5</v>
      </c>
      <c r="J61" s="366">
        <f t="shared" si="16"/>
        <v>0</v>
      </c>
      <c r="K61" s="339">
        <f t="shared" si="16"/>
        <v>0</v>
      </c>
      <c r="L61" s="339">
        <f t="shared" si="16"/>
        <v>0</v>
      </c>
      <c r="M61" s="339">
        <f t="shared" si="16"/>
        <v>0</v>
      </c>
      <c r="N61" s="350">
        <f t="shared" si="16"/>
        <v>0</v>
      </c>
    </row>
    <row r="62" spans="1:14" ht="21" customHeight="1" thickBot="1" x14ac:dyDescent="0.3">
      <c r="A62" s="80" t="s">
        <v>65</v>
      </c>
      <c r="B62" s="79"/>
      <c r="C62" s="78"/>
      <c r="D62" s="78"/>
      <c r="E62" s="78"/>
      <c r="F62" s="77"/>
      <c r="G62" s="76"/>
      <c r="H62" s="76"/>
      <c r="I62" s="381"/>
      <c r="J62" s="367"/>
      <c r="K62" s="340"/>
      <c r="L62" s="340"/>
      <c r="M62" s="340"/>
      <c r="N62" s="351"/>
    </row>
    <row r="63" spans="1:14" ht="21" customHeight="1" x14ac:dyDescent="0.35">
      <c r="A63" s="75" t="s">
        <v>64</v>
      </c>
      <c r="B63" s="74"/>
      <c r="C63" s="73"/>
      <c r="D63" s="73"/>
      <c r="E63" s="73"/>
      <c r="F63" s="72"/>
      <c r="G63" s="71">
        <v>2</v>
      </c>
      <c r="H63" s="70">
        <v>4.3</v>
      </c>
      <c r="I63" s="69">
        <v>6.125</v>
      </c>
      <c r="J63" s="68">
        <f>IF(B62 &gt; 0,IF(B63&lt;=G63,0,IF(B63&gt;=H63,I63,I63*(B63-G63)/(H63-G63))),0)</f>
        <v>0</v>
      </c>
      <c r="K63" s="67">
        <f>IF(C62 &gt; 0,IF(C63&lt;=G63,0,IF(C63&gt;=H63,I63,I63*(C63-G63)/(H63-G63))),0)</f>
        <v>0</v>
      </c>
      <c r="L63" s="67">
        <f>IF(D62&gt;0,IF(D63&lt;=G63,0,IF(D63&gt;=H63,I63,I63*(D63-G63)/(H63-G63))),0)</f>
        <v>0</v>
      </c>
      <c r="M63" s="67">
        <f>IF(E62&gt;0,IF(E63&lt;=G63,0,IF(E63&gt;=H63,I63,I63*(E63-G63)/(H63-G63))),0)</f>
        <v>0</v>
      </c>
      <c r="N63" s="66">
        <f>IF(F62&gt;0,IF(F63&lt;=G63,0,IF(F63&gt;=H63,I63,I63*(F63-G63)/(H63-G63))),0)</f>
        <v>0</v>
      </c>
    </row>
    <row r="64" spans="1:14" ht="21" customHeight="1" x14ac:dyDescent="0.35">
      <c r="A64" s="65" t="s">
        <v>63</v>
      </c>
      <c r="B64" s="64"/>
      <c r="C64" s="63"/>
      <c r="D64" s="63"/>
      <c r="E64" s="63"/>
      <c r="F64" s="62"/>
      <c r="G64" s="61">
        <v>0.1</v>
      </c>
      <c r="H64" s="60">
        <v>0</v>
      </c>
      <c r="I64" s="59">
        <v>7.8749999999999991</v>
      </c>
      <c r="J64" s="58">
        <f>IF(B62 &gt; 0,IF(B64&gt;=G64,0,IF(B64&lt;=H64,I64,I64*(B64-G64)/(H64-G64))),0)</f>
        <v>0</v>
      </c>
      <c r="K64" s="57">
        <f>IF(C62 &gt; 0,IF(C64&gt;=G64,0,IF(C64&lt;=H64,I64,I64*(C64-G64)/(H64-G64))),0)</f>
        <v>0</v>
      </c>
      <c r="L64" s="57">
        <f>IF(D62&gt;0,IF(D64&gt;=G64,0,IF(D64&lt;=H64,I64,I64*(D64-G64)/(H64-G64))),0)</f>
        <v>0</v>
      </c>
      <c r="M64" s="57">
        <f>IF(E62&gt;0,IF(E64&gt;=G64,0,IF(E64&lt;=H64,I64,I64*(E64-G64)/(H64-G64))),0)</f>
        <v>0</v>
      </c>
      <c r="N64" s="56">
        <f>IF(F62&gt;0,IF(F64&gt;=G64,0,IF(F64&lt;=H64,I64,I64*(F64-G64)/(H64-G64))),0)</f>
        <v>0</v>
      </c>
    </row>
    <row r="65" spans="1:14" ht="21" customHeight="1" thickBot="1" x14ac:dyDescent="0.4">
      <c r="A65" s="55" t="s">
        <v>62</v>
      </c>
      <c r="B65" s="54"/>
      <c r="C65" s="53"/>
      <c r="D65" s="53"/>
      <c r="E65" s="53"/>
      <c r="F65" s="52"/>
      <c r="G65" s="51">
        <v>4</v>
      </c>
      <c r="H65" s="50">
        <v>4.75</v>
      </c>
      <c r="I65" s="49">
        <v>3.5</v>
      </c>
      <c r="J65" s="48">
        <f>IF(B62 &gt; 0,IF(B65&lt;=G65,0,IF(B65&gt;=H65,I65,I65*(B65-G65)/(H65-G65))),0)</f>
        <v>0</v>
      </c>
      <c r="K65" s="47">
        <f>IF(C62 &gt; 0,IF(C65&lt;=G65,0,IF(C65&gt;=H65,I65,I65*(C65-G65)/(H65-G65))),0)</f>
        <v>0</v>
      </c>
      <c r="L65" s="47">
        <f>IF(D62&gt;0,IF(D65&lt;=G65,0,IF(D65&gt;=H65,I65,I65*(D65-G65)/(H65-G65))),0)</f>
        <v>0</v>
      </c>
      <c r="M65" s="47">
        <f>IF(E62&gt;0,IF(E65&lt;=G65,0,IF(E65&gt;=H65,I65,I65*(E65-G65)/(H65-G65))),0)</f>
        <v>0</v>
      </c>
      <c r="N65" s="46">
        <f>IF(F62&gt;0,IF(F65&lt;=G65,0,IF(F65&gt;=H65,I65,I65*(F65-G65)/(H65-G65))),0)</f>
        <v>0</v>
      </c>
    </row>
  </sheetData>
  <mergeCells count="80">
    <mergeCell ref="M61:M62"/>
    <mergeCell ref="N61:N62"/>
    <mergeCell ref="A53:C53"/>
    <mergeCell ref="A61:F61"/>
    <mergeCell ref="I61:I62"/>
    <mergeCell ref="J61:J62"/>
    <mergeCell ref="K61:K62"/>
    <mergeCell ref="L61:L62"/>
    <mergeCell ref="B54:F54"/>
    <mergeCell ref="G54:I54"/>
    <mergeCell ref="N56:N57"/>
    <mergeCell ref="J54:N54"/>
    <mergeCell ref="A56:F56"/>
    <mergeCell ref="I56:I57"/>
    <mergeCell ref="J56:J57"/>
    <mergeCell ref="K56:K57"/>
    <mergeCell ref="A40:F40"/>
    <mergeCell ref="A45:F45"/>
    <mergeCell ref="A22:F22"/>
    <mergeCell ref="I40:I41"/>
    <mergeCell ref="I45:I46"/>
    <mergeCell ref="M56:M57"/>
    <mergeCell ref="M30:M31"/>
    <mergeCell ref="J35:J36"/>
    <mergeCell ref="K35:K36"/>
    <mergeCell ref="L35:L36"/>
    <mergeCell ref="J45:J46"/>
    <mergeCell ref="J30:J31"/>
    <mergeCell ref="J40:J41"/>
    <mergeCell ref="K30:K31"/>
    <mergeCell ref="L30:L31"/>
    <mergeCell ref="L56:L57"/>
    <mergeCell ref="K45:K46"/>
    <mergeCell ref="L45:L46"/>
    <mergeCell ref="M45:M46"/>
    <mergeCell ref="A7:F7"/>
    <mergeCell ref="G5:I5"/>
    <mergeCell ref="A17:F17"/>
    <mergeCell ref="A12:F12"/>
    <mergeCell ref="A35:F35"/>
    <mergeCell ref="B5:F5"/>
    <mergeCell ref="B28:F28"/>
    <mergeCell ref="A30:F30"/>
    <mergeCell ref="I12:I13"/>
    <mergeCell ref="I17:I18"/>
    <mergeCell ref="I7:I8"/>
    <mergeCell ref="I22:I23"/>
    <mergeCell ref="I30:I31"/>
    <mergeCell ref="I35:I36"/>
    <mergeCell ref="G28:I28"/>
    <mergeCell ref="N30:N31"/>
    <mergeCell ref="J5:N5"/>
    <mergeCell ref="J28:N28"/>
    <mergeCell ref="N17:N18"/>
    <mergeCell ref="J22:J23"/>
    <mergeCell ref="K22:K23"/>
    <mergeCell ref="L22:L23"/>
    <mergeCell ref="M22:M23"/>
    <mergeCell ref="N22:N23"/>
    <mergeCell ref="N12:N13"/>
    <mergeCell ref="N7:N8"/>
    <mergeCell ref="J7:J8"/>
    <mergeCell ref="K7:K8"/>
    <mergeCell ref="L7:L8"/>
    <mergeCell ref="M7:M8"/>
    <mergeCell ref="J17:J18"/>
    <mergeCell ref="L17:L18"/>
    <mergeCell ref="M17:M18"/>
    <mergeCell ref="J12:J13"/>
    <mergeCell ref="K12:K13"/>
    <mergeCell ref="L12:L13"/>
    <mergeCell ref="M12:M13"/>
    <mergeCell ref="K17:K18"/>
    <mergeCell ref="N45:N46"/>
    <mergeCell ref="M35:M36"/>
    <mergeCell ref="N35:N36"/>
    <mergeCell ref="K40:K41"/>
    <mergeCell ref="L40:L41"/>
    <mergeCell ref="M40:M41"/>
    <mergeCell ref="N40:N41"/>
  </mergeCells>
  <dataValidations count="7">
    <dataValidation type="list" allowBlank="1" showInputMessage="1" showErrorMessage="1" sqref="H12" xr:uid="{00000000-0002-0000-0200-000000000000}">
      <formula1>lists28</formula1>
    </dataValidation>
    <dataValidation type="list" allowBlank="1" showInputMessage="1" showErrorMessage="1" sqref="G12" xr:uid="{00000000-0002-0000-0200-000001000000}">
      <formula1>lists27</formula1>
    </dataValidation>
    <dataValidation type="list" allowBlank="1" showInputMessage="1" showErrorMessage="1" sqref="F12" xr:uid="{00000000-0002-0000-0200-000002000000}">
      <formula1>lists26</formula1>
    </dataValidation>
    <dataValidation type="list" allowBlank="1" showInputMessage="1" showErrorMessage="1" sqref="E12" xr:uid="{00000000-0002-0000-0200-000003000000}">
      <formula1>lists25</formula1>
    </dataValidation>
    <dataValidation type="list" allowBlank="1" showInputMessage="1" showErrorMessage="1" sqref="D12" xr:uid="{00000000-0002-0000-0200-000004000000}">
      <formula1>lists24</formula1>
    </dataValidation>
    <dataValidation type="list" allowBlank="1" showInputMessage="1" showErrorMessage="1" sqref="C12" xr:uid="{00000000-0002-0000-0200-000005000000}">
      <formula1>lists23</formula1>
    </dataValidation>
    <dataValidation type="list" allowBlank="1" showInputMessage="1" showErrorMessage="1" sqref="B12" xr:uid="{00000000-0002-0000-0200-000006000000}">
      <formula1>lists22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Ranking">
                <anchor moveWithCells="1" sizeWithCells="1">
                  <from>
                    <xdr:col>1</xdr:col>
                    <xdr:colOff>371475</xdr:colOff>
                    <xdr:row>0</xdr:row>
                    <xdr:rowOff>57150</xdr:rowOff>
                  </from>
                  <to>
                    <xdr:col>4</xdr:col>
                    <xdr:colOff>1057275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Ranking">
                <anchor moveWithCells="1" sizeWithCells="1">
                  <from>
                    <xdr:col>5</xdr:col>
                    <xdr:colOff>9525</xdr:colOff>
                    <xdr:row>0</xdr:row>
                    <xdr:rowOff>57150</xdr:rowOff>
                  </from>
                  <to>
                    <xdr:col>8</xdr:col>
                    <xdr:colOff>200025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City">
                <anchor moveWithCells="1" sizeWithCells="1">
                  <from>
                    <xdr:col>2</xdr:col>
                    <xdr:colOff>638175</xdr:colOff>
                    <xdr:row>49</xdr:row>
                    <xdr:rowOff>66675</xdr:rowOff>
                  </from>
                  <to>
                    <xdr:col>7</xdr:col>
                    <xdr:colOff>1114425</xdr:colOff>
                    <xdr:row>51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ityRanking">
                <anchor moveWithCells="1" sizeWithCells="1">
                  <from>
                    <xdr:col>0</xdr:col>
                    <xdr:colOff>85725</xdr:colOff>
                    <xdr:row>49</xdr:row>
                    <xdr:rowOff>66675</xdr:rowOff>
                  </from>
                  <to>
                    <xdr:col>2</xdr:col>
                    <xdr:colOff>542925</xdr:colOff>
                    <xdr:row>51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HN2"/>
  <sheetViews>
    <sheetView zoomScaleNormal="100" workbookViewId="0">
      <selection activeCell="A2" sqref="A2"/>
    </sheetView>
  </sheetViews>
  <sheetFormatPr baseColWidth="10" defaultColWidth="11.42578125" defaultRowHeight="15" x14ac:dyDescent="0.25"/>
  <cols>
    <col min="1" max="1" width="29.42578125" style="45" customWidth="1"/>
    <col min="2" max="3" width="46.5703125" style="45" customWidth="1"/>
    <col min="4" max="5" width="10.7109375" style="45" customWidth="1"/>
    <col min="6" max="7" width="14.85546875" style="243" customWidth="1"/>
    <col min="8" max="8" width="22.28515625" style="45" bestFit="1" customWidth="1"/>
    <col min="9" max="9" width="12.7109375" style="45" bestFit="1" customWidth="1"/>
    <col min="10" max="10" width="27.140625" style="45" bestFit="1" customWidth="1"/>
    <col min="11" max="11" width="22.140625" style="45" bestFit="1" customWidth="1"/>
    <col min="12" max="12" width="32" style="45" customWidth="1"/>
    <col min="13" max="13" width="23.42578125" style="400" bestFit="1" customWidth="1"/>
    <col min="14" max="14" width="11.42578125" style="45" customWidth="1"/>
    <col min="15" max="15" width="22.7109375" style="45" customWidth="1"/>
    <col min="16" max="16" width="32" style="45" customWidth="1"/>
    <col min="17" max="17" width="23.28515625" style="400" bestFit="1" customWidth="1"/>
    <col min="18" max="18" width="11.42578125" style="45" customWidth="1"/>
    <col min="19" max="19" width="22.7109375" style="45" customWidth="1"/>
    <col min="20" max="20" width="17.140625" style="45" customWidth="1"/>
    <col min="21" max="21" width="15.140625" style="45" customWidth="1"/>
    <col min="22" max="22" width="15.7109375" style="45" customWidth="1"/>
    <col min="23" max="23" width="18.140625" style="45" customWidth="1"/>
    <col min="24" max="27" width="17.140625" style="45" customWidth="1"/>
    <col min="28" max="32" width="11.5703125" style="45" customWidth="1"/>
    <col min="33" max="33" width="15.5703125" style="45" customWidth="1"/>
    <col min="34" max="34" width="21.28515625" customWidth="1"/>
    <col min="35" max="35" width="34.140625" customWidth="1"/>
    <col min="36" max="36" width="40" customWidth="1"/>
    <col min="37" max="37" width="38.7109375" customWidth="1"/>
    <col min="38" max="41" width="22.28515625" style="45" customWidth="1"/>
    <col min="42" max="42" width="26.5703125" customWidth="1"/>
    <col min="43" max="43" width="55.28515625" style="1" customWidth="1"/>
    <col min="44" max="44" width="26" style="243" customWidth="1"/>
    <col min="45" max="45" width="23.7109375" customWidth="1"/>
    <col min="46" max="46" width="24.140625" style="45" customWidth="1"/>
    <col min="47" max="47" width="26.5703125" customWidth="1"/>
    <col min="48" max="48" width="55.28515625" style="1" customWidth="1"/>
    <col min="49" max="49" width="26" style="45" customWidth="1"/>
    <col min="50" max="50" width="23.7109375" customWidth="1"/>
    <col min="51" max="51" width="24.140625" style="45" customWidth="1"/>
    <col min="52" max="52" width="13.5703125" style="243" customWidth="1"/>
    <col min="53" max="53" width="13.7109375" style="45" customWidth="1"/>
    <col min="54" max="54" width="16.7109375" customWidth="1"/>
    <col min="55" max="56" width="23.5703125" customWidth="1"/>
    <col min="57" max="59" width="25.7109375" style="248" customWidth="1"/>
    <col min="60" max="60" width="39.140625" customWidth="1"/>
    <col min="61" max="61" width="14.5703125" style="248" customWidth="1"/>
    <col min="62" max="63" width="15.28515625" customWidth="1"/>
    <col min="64" max="64" width="15.42578125" customWidth="1"/>
    <col min="65" max="65" width="14.5703125" customWidth="1"/>
    <col min="66" max="66" width="16.85546875" customWidth="1"/>
    <col min="67" max="67" width="14.85546875" customWidth="1"/>
    <col min="68" max="71" width="16.28515625" style="45" customWidth="1"/>
    <col min="72" max="74" width="12.28515625" style="240" customWidth="1"/>
    <col min="75" max="75" width="16.7109375" style="240" customWidth="1"/>
    <col min="76" max="77" width="15" style="45" customWidth="1"/>
    <col min="78" max="79" width="17.5703125" style="45" customWidth="1"/>
    <col min="80" max="80" width="16.7109375" style="243" customWidth="1"/>
    <col min="81" max="82" width="14.85546875" style="243" customWidth="1"/>
    <col min="83" max="83" width="13.42578125" style="243" customWidth="1"/>
    <col min="84" max="84" width="22" style="247" customWidth="1"/>
    <col min="85" max="85" width="47.28515625" style="247" customWidth="1"/>
    <col min="86" max="86" width="19.140625" style="245" customWidth="1"/>
    <col min="87" max="87" width="47.28515625" style="246" customWidth="1"/>
    <col min="88" max="88" width="24.42578125" style="245" customWidth="1"/>
    <col min="89" max="89" width="24.42578125" style="244" customWidth="1"/>
    <col min="90" max="90" width="24.42578125" style="45" customWidth="1"/>
    <col min="91" max="91" width="23.7109375" style="45" bestFit="1" customWidth="1"/>
    <col min="92" max="93" width="24.7109375" style="45" bestFit="1" customWidth="1"/>
    <col min="94" max="94" width="23.7109375" style="45" bestFit="1" customWidth="1"/>
    <col min="95" max="96" width="23.7109375" style="243" bestFit="1" customWidth="1"/>
    <col min="97" max="97" width="24.7109375" style="45" bestFit="1" customWidth="1"/>
    <col min="98" max="99" width="24.7109375" style="243" bestFit="1" customWidth="1"/>
    <col min="100" max="100" width="24.28515625" style="45" bestFit="1" customWidth="1"/>
    <col min="101" max="101" width="25.28515625" style="45" bestFit="1" customWidth="1"/>
    <col min="102" max="102" width="26.42578125" style="242" bestFit="1" customWidth="1"/>
    <col min="103" max="108" width="26.42578125" style="45" bestFit="1" customWidth="1"/>
    <col min="109" max="110" width="19" style="45" bestFit="1" customWidth="1"/>
    <col min="111" max="111" width="17.42578125" style="45" bestFit="1" customWidth="1"/>
    <col min="112" max="112" width="19" style="45" bestFit="1" customWidth="1"/>
    <col min="113" max="115" width="20" style="45" bestFit="1" customWidth="1"/>
    <col min="116" max="119" width="18.42578125" style="45" bestFit="1" customWidth="1"/>
    <col min="120" max="120" width="19.42578125" style="45" bestFit="1" customWidth="1"/>
    <col min="121" max="121" width="17.28515625" style="240" bestFit="1" customWidth="1"/>
    <col min="122" max="122" width="17" style="240" bestFit="1" customWidth="1"/>
    <col min="123" max="123" width="17.5703125" style="240" bestFit="1" customWidth="1"/>
    <col min="124" max="124" width="18.42578125" style="240" bestFit="1" customWidth="1"/>
    <col min="125" max="125" width="18.140625" style="240" bestFit="1" customWidth="1"/>
    <col min="126" max="126" width="18.7109375" style="240" bestFit="1" customWidth="1"/>
    <col min="127" max="127" width="16.5703125" style="240" bestFit="1" customWidth="1"/>
    <col min="128" max="128" width="16.28515625" style="240" bestFit="1" customWidth="1"/>
    <col min="129" max="129" width="16.85546875" style="240" bestFit="1" customWidth="1"/>
    <col min="130" max="130" width="15.5703125" style="240" bestFit="1" customWidth="1"/>
    <col min="131" max="131" width="15.28515625" style="240" bestFit="1" customWidth="1"/>
    <col min="132" max="132" width="15.85546875" style="240" bestFit="1" customWidth="1"/>
    <col min="133" max="133" width="20" style="240" bestFit="1" customWidth="1"/>
    <col min="134" max="134" width="19.7109375" style="240" bestFit="1" customWidth="1"/>
    <col min="135" max="135" width="20.28515625" style="240" bestFit="1" customWidth="1"/>
    <col min="136" max="136" width="16.5703125" style="240" bestFit="1" customWidth="1"/>
    <col min="137" max="137" width="16.28515625" style="240" bestFit="1" customWidth="1"/>
    <col min="138" max="139" width="16.85546875" style="240" bestFit="1" customWidth="1"/>
    <col min="140" max="140" width="16.5703125" style="240" bestFit="1" customWidth="1"/>
    <col min="141" max="141" width="17.140625" style="240" bestFit="1" customWidth="1"/>
    <col min="142" max="142" width="16.28515625" style="240" bestFit="1" customWidth="1"/>
    <col min="143" max="143" width="15.85546875" style="240" bestFit="1" customWidth="1"/>
    <col min="144" max="144" width="16.5703125" style="240" bestFit="1" customWidth="1"/>
    <col min="145" max="145" width="20" style="240" bestFit="1" customWidth="1"/>
    <col min="146" max="146" width="19.7109375" style="241" bestFit="1" customWidth="1"/>
    <col min="147" max="147" width="20.28515625" style="240" bestFit="1" customWidth="1"/>
    <col min="148" max="148" width="61.85546875" customWidth="1"/>
    <col min="149" max="149" width="19" style="45" bestFit="1" customWidth="1"/>
    <col min="150" max="151" width="21.28515625" style="45" customWidth="1"/>
    <col min="152" max="152" width="24.42578125" customWidth="1"/>
    <col min="153" max="153" width="57.140625" customWidth="1"/>
    <col min="154" max="154" width="20.42578125" customWidth="1"/>
    <col min="155" max="155" width="57.140625" customWidth="1"/>
    <col min="156" max="156" width="22.5703125" style="45" bestFit="1" customWidth="1"/>
    <col min="157" max="157" width="23.140625" style="45" bestFit="1" customWidth="1"/>
    <col min="158" max="158" width="17.85546875" style="45" bestFit="1" customWidth="1"/>
    <col min="159" max="159" width="26.140625" style="45" bestFit="1" customWidth="1"/>
    <col min="160" max="161" width="27.28515625" style="45" bestFit="1" customWidth="1"/>
    <col min="162" max="164" width="26.140625" style="45" bestFit="1" customWidth="1"/>
    <col min="165" max="167" width="27.28515625" style="45" bestFit="1" customWidth="1"/>
    <col min="168" max="168" width="26.85546875" style="45" bestFit="1" customWidth="1"/>
    <col min="169" max="169" width="27.85546875" style="45" bestFit="1" customWidth="1"/>
    <col min="170" max="176" width="28.85546875" style="45" bestFit="1" customWidth="1"/>
    <col min="177" max="178" width="21.5703125" style="45" bestFit="1" customWidth="1"/>
    <col min="179" max="179" width="19.85546875" style="45" bestFit="1" customWidth="1"/>
    <col min="180" max="180" width="21.5703125" style="45" bestFit="1" customWidth="1"/>
    <col min="181" max="183" width="22.5703125" style="45" bestFit="1" customWidth="1"/>
    <col min="184" max="187" width="20.85546875" style="45" bestFit="1" customWidth="1"/>
    <col min="188" max="188" width="22" style="45" bestFit="1" customWidth="1"/>
    <col min="189" max="189" width="19.7109375" style="240" bestFit="1" customWidth="1"/>
    <col min="190" max="190" width="19.42578125" style="240" bestFit="1" customWidth="1"/>
    <col min="191" max="191" width="20" style="240" bestFit="1" customWidth="1"/>
    <col min="192" max="192" width="20.85546875" style="240" bestFit="1" customWidth="1"/>
    <col min="193" max="193" width="20.5703125" style="240" customWidth="1"/>
    <col min="194" max="194" width="21.28515625" style="240" bestFit="1" customWidth="1"/>
    <col min="195" max="195" width="19" style="240" bestFit="1" customWidth="1"/>
    <col min="196" max="196" width="18.7109375" style="240" bestFit="1" customWidth="1"/>
    <col min="197" max="197" width="19.28515625" style="240" bestFit="1" customWidth="1"/>
    <col min="198" max="198" width="18.140625" style="240" bestFit="1" customWidth="1"/>
    <col min="199" max="199" width="17.85546875" style="240" bestFit="1" customWidth="1"/>
    <col min="200" max="200" width="18.42578125" style="240" bestFit="1" customWidth="1"/>
    <col min="201" max="201" width="22.5703125" style="240" bestFit="1" customWidth="1"/>
    <col min="202" max="202" width="22.28515625" style="240" bestFit="1" customWidth="1"/>
    <col min="203" max="203" width="22.85546875" style="240" bestFit="1" customWidth="1"/>
    <col min="204" max="204" width="19" style="240" bestFit="1" customWidth="1"/>
    <col min="205" max="205" width="18.7109375" style="240" bestFit="1" customWidth="1"/>
    <col min="206" max="207" width="19.28515625" style="240" bestFit="1" customWidth="1"/>
    <col min="208" max="208" width="19" style="240" bestFit="1" customWidth="1"/>
    <col min="209" max="209" width="19.5703125" style="240" bestFit="1" customWidth="1"/>
    <col min="210" max="210" width="18.7109375" style="240" bestFit="1" customWidth="1"/>
    <col min="211" max="211" width="18.42578125" style="240" bestFit="1" customWidth="1"/>
    <col min="212" max="212" width="19" style="240" bestFit="1" customWidth="1"/>
    <col min="213" max="213" width="22.5703125" style="240" bestFit="1" customWidth="1"/>
    <col min="214" max="214" width="22.28515625" style="240" bestFit="1" customWidth="1"/>
    <col min="215" max="215" width="22.85546875" style="240" bestFit="1" customWidth="1"/>
    <col min="216" max="216" width="76.140625" style="240" customWidth="1"/>
    <col min="217" max="217" width="21.5703125" style="240" bestFit="1" customWidth="1"/>
    <col min="218" max="218" width="19.85546875" style="45" bestFit="1" customWidth="1"/>
    <col min="219" max="219" width="18.28515625" style="45" bestFit="1" customWidth="1"/>
    <col min="220" max="221" width="25.5703125" style="45" customWidth="1"/>
    <col min="222" max="222" width="23" customWidth="1"/>
  </cols>
  <sheetData>
    <row r="1" spans="1:222" s="260" customFormat="1" x14ac:dyDescent="0.25">
      <c r="A1" s="261" t="s">
        <v>301</v>
      </c>
      <c r="B1" s="261" t="s">
        <v>300</v>
      </c>
      <c r="C1" s="261" t="s">
        <v>299</v>
      </c>
      <c r="D1" s="261" t="s">
        <v>298</v>
      </c>
      <c r="E1" s="261" t="s">
        <v>297</v>
      </c>
      <c r="F1" s="322" t="s">
        <v>296</v>
      </c>
      <c r="G1" s="322" t="s">
        <v>295</v>
      </c>
      <c r="H1" s="261" t="s">
        <v>294</v>
      </c>
      <c r="I1" s="261" t="s">
        <v>293</v>
      </c>
      <c r="J1" s="261" t="s">
        <v>292</v>
      </c>
      <c r="K1" s="261" t="s">
        <v>291</v>
      </c>
      <c r="L1" s="261" t="s">
        <v>290</v>
      </c>
      <c r="M1" s="398" t="s">
        <v>289</v>
      </c>
      <c r="N1" s="261" t="s">
        <v>288</v>
      </c>
      <c r="O1" s="261" t="s">
        <v>287</v>
      </c>
      <c r="P1" s="261" t="s">
        <v>286</v>
      </c>
      <c r="Q1" s="398" t="s">
        <v>285</v>
      </c>
      <c r="R1" s="261" t="s">
        <v>284</v>
      </c>
      <c r="S1" s="261" t="s">
        <v>283</v>
      </c>
      <c r="T1" s="261" t="s">
        <v>282</v>
      </c>
      <c r="U1" s="261" t="s">
        <v>281</v>
      </c>
      <c r="V1" s="261" t="s">
        <v>280</v>
      </c>
      <c r="W1" s="261" t="s">
        <v>279</v>
      </c>
      <c r="X1" s="261" t="s">
        <v>278</v>
      </c>
      <c r="Y1" s="261" t="s">
        <v>277</v>
      </c>
      <c r="Z1" s="261" t="s">
        <v>276</v>
      </c>
      <c r="AA1" s="261" t="s">
        <v>275</v>
      </c>
      <c r="AB1" s="261" t="s">
        <v>274</v>
      </c>
      <c r="AC1" s="261" t="s">
        <v>273</v>
      </c>
      <c r="AD1" s="261" t="s">
        <v>272</v>
      </c>
      <c r="AE1" s="261" t="s">
        <v>271</v>
      </c>
      <c r="AF1" s="261" t="s">
        <v>270</v>
      </c>
      <c r="AG1" s="261" t="s">
        <v>269</v>
      </c>
      <c r="AH1" s="260" t="s">
        <v>268</v>
      </c>
      <c r="AI1" s="260" t="s">
        <v>267</v>
      </c>
      <c r="AJ1" s="260" t="s">
        <v>266</v>
      </c>
      <c r="AK1" s="260" t="s">
        <v>265</v>
      </c>
      <c r="AL1" s="261" t="s">
        <v>264</v>
      </c>
      <c r="AM1" s="261" t="s">
        <v>263</v>
      </c>
      <c r="AN1" s="261" t="s">
        <v>262</v>
      </c>
      <c r="AO1" s="261" t="s">
        <v>261</v>
      </c>
      <c r="AP1" s="260" t="s">
        <v>260</v>
      </c>
      <c r="AQ1" s="264" t="s">
        <v>259</v>
      </c>
      <c r="AR1" s="261" t="s">
        <v>258</v>
      </c>
      <c r="AS1" s="261" t="s">
        <v>257</v>
      </c>
      <c r="AT1" s="261" t="s">
        <v>256</v>
      </c>
      <c r="AU1" s="260" t="s">
        <v>255</v>
      </c>
      <c r="AV1" s="264" t="s">
        <v>254</v>
      </c>
      <c r="AW1" s="261" t="s">
        <v>253</v>
      </c>
      <c r="AX1" s="260" t="s">
        <v>252</v>
      </c>
      <c r="AY1" s="261" t="s">
        <v>251</v>
      </c>
      <c r="AZ1" s="261" t="s">
        <v>250</v>
      </c>
      <c r="BA1" s="261" t="s">
        <v>249</v>
      </c>
      <c r="BB1" s="260" t="s">
        <v>248</v>
      </c>
      <c r="BC1" s="260" t="s">
        <v>247</v>
      </c>
      <c r="BD1" s="260" t="s">
        <v>246</v>
      </c>
      <c r="BE1" s="263" t="s">
        <v>245</v>
      </c>
      <c r="BF1" s="263" t="s">
        <v>244</v>
      </c>
      <c r="BG1" s="263" t="s">
        <v>243</v>
      </c>
      <c r="BH1" s="260" t="s">
        <v>242</v>
      </c>
      <c r="BI1" s="263" t="s">
        <v>241</v>
      </c>
      <c r="BJ1" s="260" t="s">
        <v>240</v>
      </c>
      <c r="BK1" s="260" t="s">
        <v>239</v>
      </c>
      <c r="BL1" s="260" t="s">
        <v>238</v>
      </c>
      <c r="BM1" s="260" t="s">
        <v>237</v>
      </c>
      <c r="BN1" s="260" t="s">
        <v>236</v>
      </c>
      <c r="BO1" s="260" t="s">
        <v>235</v>
      </c>
      <c r="BP1" s="261" t="s">
        <v>234</v>
      </c>
      <c r="BQ1" s="261" t="s">
        <v>233</v>
      </c>
      <c r="BR1" s="261" t="s">
        <v>232</v>
      </c>
      <c r="BS1" s="261" t="s">
        <v>231</v>
      </c>
      <c r="BT1" s="261" t="s">
        <v>230</v>
      </c>
      <c r="BU1" s="261" t="s">
        <v>229</v>
      </c>
      <c r="BV1" s="261" t="s">
        <v>228</v>
      </c>
      <c r="BW1" s="261" t="s">
        <v>227</v>
      </c>
      <c r="BX1" s="261" t="s">
        <v>226</v>
      </c>
      <c r="BY1" s="261" t="s">
        <v>225</v>
      </c>
      <c r="BZ1" s="261" t="s">
        <v>224</v>
      </c>
      <c r="CA1" s="261" t="s">
        <v>223</v>
      </c>
      <c r="CB1" s="261" t="s">
        <v>222</v>
      </c>
      <c r="CC1" s="261" t="s">
        <v>221</v>
      </c>
      <c r="CD1" s="261" t="s">
        <v>220</v>
      </c>
      <c r="CE1" s="261" t="s">
        <v>219</v>
      </c>
      <c r="CF1" s="260" t="s">
        <v>218</v>
      </c>
      <c r="CG1" s="260" t="s">
        <v>217</v>
      </c>
      <c r="CH1" s="261" t="s">
        <v>216</v>
      </c>
      <c r="CI1" s="260" t="s">
        <v>215</v>
      </c>
      <c r="CJ1" s="261" t="s">
        <v>214</v>
      </c>
      <c r="CK1" s="261" t="s">
        <v>213</v>
      </c>
      <c r="CL1" s="261" t="s">
        <v>212</v>
      </c>
      <c r="CM1" s="261" t="s">
        <v>211</v>
      </c>
      <c r="CN1" s="261" t="s">
        <v>210</v>
      </c>
      <c r="CO1" s="261" t="s">
        <v>209</v>
      </c>
      <c r="CP1" s="261" t="s">
        <v>208</v>
      </c>
      <c r="CQ1" s="261" t="s">
        <v>207</v>
      </c>
      <c r="CR1" s="261" t="s">
        <v>206</v>
      </c>
      <c r="CS1" s="261" t="s">
        <v>205</v>
      </c>
      <c r="CT1" s="261" t="s">
        <v>204</v>
      </c>
      <c r="CU1" s="261" t="s">
        <v>203</v>
      </c>
      <c r="CV1" s="261" t="s">
        <v>202</v>
      </c>
      <c r="CW1" s="261" t="s">
        <v>201</v>
      </c>
      <c r="CX1" s="261" t="s">
        <v>200</v>
      </c>
      <c r="CY1" s="261" t="s">
        <v>199</v>
      </c>
      <c r="CZ1" s="261" t="s">
        <v>198</v>
      </c>
      <c r="DA1" s="261" t="s">
        <v>197</v>
      </c>
      <c r="DB1" s="261" t="s">
        <v>196</v>
      </c>
      <c r="DC1" s="261" t="s">
        <v>195</v>
      </c>
      <c r="DD1" s="261" t="s">
        <v>194</v>
      </c>
      <c r="DE1" s="261" t="s">
        <v>193</v>
      </c>
      <c r="DF1" s="261" t="s">
        <v>192</v>
      </c>
      <c r="DG1" s="261" t="s">
        <v>191</v>
      </c>
      <c r="DH1" s="261" t="s">
        <v>190</v>
      </c>
      <c r="DI1" s="261" t="s">
        <v>189</v>
      </c>
      <c r="DJ1" s="261" t="s">
        <v>188</v>
      </c>
      <c r="DK1" s="261" t="s">
        <v>187</v>
      </c>
      <c r="DL1" s="261" t="s">
        <v>186</v>
      </c>
      <c r="DM1" s="261" t="s">
        <v>185</v>
      </c>
      <c r="DN1" s="261" t="s">
        <v>184</v>
      </c>
      <c r="DO1" s="261" t="s">
        <v>183</v>
      </c>
      <c r="DP1" s="261" t="s">
        <v>182</v>
      </c>
      <c r="DQ1" s="262" t="s">
        <v>181</v>
      </c>
      <c r="DR1" s="262" t="s">
        <v>180</v>
      </c>
      <c r="DS1" s="262" t="s">
        <v>179</v>
      </c>
      <c r="DT1" s="262" t="s">
        <v>178</v>
      </c>
      <c r="DU1" s="262" t="s">
        <v>177</v>
      </c>
      <c r="DV1" s="262" t="s">
        <v>176</v>
      </c>
      <c r="DW1" s="262" t="s">
        <v>175</v>
      </c>
      <c r="DX1" s="262" t="s">
        <v>174</v>
      </c>
      <c r="DY1" s="262" t="s">
        <v>173</v>
      </c>
      <c r="DZ1" s="262" t="s">
        <v>172</v>
      </c>
      <c r="EA1" s="262" t="s">
        <v>171</v>
      </c>
      <c r="EB1" s="262" t="s">
        <v>170</v>
      </c>
      <c r="EC1" s="262" t="s">
        <v>169</v>
      </c>
      <c r="ED1" s="262" t="s">
        <v>168</v>
      </c>
      <c r="EE1" s="262" t="s">
        <v>167</v>
      </c>
      <c r="EF1" s="262" t="s">
        <v>166</v>
      </c>
      <c r="EG1" s="262" t="s">
        <v>165</v>
      </c>
      <c r="EH1" s="262" t="s">
        <v>164</v>
      </c>
      <c r="EI1" s="262" t="s">
        <v>163</v>
      </c>
      <c r="EJ1" s="262" t="s">
        <v>162</v>
      </c>
      <c r="EK1" s="262" t="s">
        <v>161</v>
      </c>
      <c r="EL1" s="262" t="s">
        <v>160</v>
      </c>
      <c r="EM1" s="262" t="s">
        <v>159</v>
      </c>
      <c r="EN1" s="262" t="s">
        <v>158</v>
      </c>
      <c r="EO1" s="262" t="s">
        <v>157</v>
      </c>
      <c r="EP1" s="262" t="s">
        <v>156</v>
      </c>
      <c r="EQ1" s="262" t="s">
        <v>155</v>
      </c>
      <c r="ER1" s="260" t="s">
        <v>154</v>
      </c>
      <c r="ES1" s="261" t="s">
        <v>153</v>
      </c>
      <c r="ET1" s="261" t="s">
        <v>152</v>
      </c>
      <c r="EU1" s="261" t="s">
        <v>151</v>
      </c>
      <c r="EV1" s="260" t="s">
        <v>150</v>
      </c>
      <c r="EW1" s="260" t="s">
        <v>149</v>
      </c>
      <c r="EX1" s="260" t="s">
        <v>148</v>
      </c>
      <c r="EY1" s="260" t="s">
        <v>147</v>
      </c>
      <c r="EZ1" s="261" t="s">
        <v>146</v>
      </c>
      <c r="FA1" s="261" t="s">
        <v>145</v>
      </c>
      <c r="FB1" s="261" t="s">
        <v>144</v>
      </c>
      <c r="FC1" s="261" t="s">
        <v>143</v>
      </c>
      <c r="FD1" s="261" t="s">
        <v>142</v>
      </c>
      <c r="FE1" s="261" t="s">
        <v>141</v>
      </c>
      <c r="FF1" s="261" t="s">
        <v>140</v>
      </c>
      <c r="FG1" s="261" t="s">
        <v>139</v>
      </c>
      <c r="FH1" s="261" t="s">
        <v>138</v>
      </c>
      <c r="FI1" s="261" t="s">
        <v>137</v>
      </c>
      <c r="FJ1" s="261" t="s">
        <v>136</v>
      </c>
      <c r="FK1" s="261" t="s">
        <v>135</v>
      </c>
      <c r="FL1" s="261" t="s">
        <v>134</v>
      </c>
      <c r="FM1" s="261" t="s">
        <v>133</v>
      </c>
      <c r="FN1" s="261" t="s">
        <v>132</v>
      </c>
      <c r="FO1" s="261" t="s">
        <v>131</v>
      </c>
      <c r="FP1" s="261" t="s">
        <v>130</v>
      </c>
      <c r="FQ1" s="261" t="s">
        <v>129</v>
      </c>
      <c r="FR1" s="261" t="s">
        <v>128</v>
      </c>
      <c r="FS1" s="261" t="s">
        <v>127</v>
      </c>
      <c r="FT1" s="261" t="s">
        <v>126</v>
      </c>
      <c r="FU1" s="261" t="s">
        <v>125</v>
      </c>
      <c r="FV1" s="261" t="s">
        <v>124</v>
      </c>
      <c r="FW1" s="261" t="s">
        <v>123</v>
      </c>
      <c r="FX1" s="261" t="s">
        <v>122</v>
      </c>
      <c r="FY1" s="261" t="s">
        <v>121</v>
      </c>
      <c r="FZ1" s="261" t="s">
        <v>120</v>
      </c>
      <c r="GA1" s="261" t="s">
        <v>119</v>
      </c>
      <c r="GB1" s="261" t="s">
        <v>118</v>
      </c>
      <c r="GC1" s="261" t="s">
        <v>117</v>
      </c>
      <c r="GD1" s="261" t="s">
        <v>116</v>
      </c>
      <c r="GE1" s="261" t="s">
        <v>115</v>
      </c>
      <c r="GF1" s="261" t="s">
        <v>114</v>
      </c>
      <c r="GG1" s="262" t="s">
        <v>113</v>
      </c>
      <c r="GH1" s="262" t="s">
        <v>112</v>
      </c>
      <c r="GI1" s="262" t="s">
        <v>111</v>
      </c>
      <c r="GJ1" s="262" t="s">
        <v>110</v>
      </c>
      <c r="GK1" s="262" t="s">
        <v>109</v>
      </c>
      <c r="GL1" s="262" t="s">
        <v>108</v>
      </c>
      <c r="GM1" s="262" t="s">
        <v>107</v>
      </c>
      <c r="GN1" s="262" t="s">
        <v>106</v>
      </c>
      <c r="GO1" s="262" t="s">
        <v>105</v>
      </c>
      <c r="GP1" s="262" t="s">
        <v>104</v>
      </c>
      <c r="GQ1" s="262" t="s">
        <v>103</v>
      </c>
      <c r="GR1" s="262" t="s">
        <v>102</v>
      </c>
      <c r="GS1" s="262" t="s">
        <v>101</v>
      </c>
      <c r="GT1" s="262" t="s">
        <v>100</v>
      </c>
      <c r="GU1" s="262" t="s">
        <v>99</v>
      </c>
      <c r="GV1" s="262" t="s">
        <v>98</v>
      </c>
      <c r="GW1" s="262" t="s">
        <v>97</v>
      </c>
      <c r="GX1" s="262" t="s">
        <v>96</v>
      </c>
      <c r="GY1" s="262" t="s">
        <v>95</v>
      </c>
      <c r="GZ1" s="262" t="s">
        <v>94</v>
      </c>
      <c r="HA1" s="262" t="s">
        <v>93</v>
      </c>
      <c r="HB1" s="262" t="s">
        <v>92</v>
      </c>
      <c r="HC1" s="262" t="s">
        <v>91</v>
      </c>
      <c r="HD1" s="262" t="s">
        <v>90</v>
      </c>
      <c r="HE1" s="262" t="s">
        <v>89</v>
      </c>
      <c r="HF1" s="262" t="s">
        <v>88</v>
      </c>
      <c r="HG1" s="262" t="s">
        <v>87</v>
      </c>
      <c r="HH1" s="262" t="s">
        <v>86</v>
      </c>
      <c r="HI1" s="262" t="s">
        <v>85</v>
      </c>
      <c r="HJ1" s="261" t="s">
        <v>84</v>
      </c>
      <c r="HK1" s="261" t="s">
        <v>83</v>
      </c>
      <c r="HL1" s="261" t="s">
        <v>82</v>
      </c>
      <c r="HM1" s="261" t="s">
        <v>81</v>
      </c>
      <c r="HN1" s="261"/>
    </row>
    <row r="2" spans="1:222" s="249" customFormat="1" x14ac:dyDescent="0.25">
      <c r="A2" s="248"/>
      <c r="B2" s="248"/>
      <c r="C2" s="248"/>
      <c r="D2" s="248"/>
      <c r="E2" s="248"/>
      <c r="F2" s="254"/>
      <c r="G2" s="254"/>
      <c r="H2" s="248"/>
      <c r="I2" s="248"/>
      <c r="J2" s="259"/>
      <c r="K2" s="259"/>
      <c r="L2" s="248"/>
      <c r="M2" s="399"/>
      <c r="N2" s="248"/>
      <c r="O2" s="248"/>
      <c r="P2" s="248"/>
      <c r="Q2" s="399"/>
      <c r="R2" s="248"/>
      <c r="S2" s="248"/>
      <c r="T2" s="248"/>
      <c r="U2" s="248"/>
      <c r="V2" s="248"/>
      <c r="W2" s="248"/>
      <c r="X2" s="248"/>
      <c r="Y2" s="248"/>
      <c r="Z2" s="248"/>
      <c r="AA2" s="248"/>
      <c r="AB2" s="248"/>
      <c r="AC2" s="248"/>
      <c r="AD2" s="248"/>
      <c r="AE2" s="248"/>
      <c r="AF2" s="248"/>
      <c r="AG2" s="248"/>
      <c r="AL2" s="248"/>
      <c r="AM2" s="248"/>
      <c r="AN2" s="248"/>
      <c r="AO2" s="248"/>
      <c r="AQ2" s="252"/>
      <c r="AR2" s="254"/>
      <c r="AS2" s="254"/>
      <c r="AT2" s="254"/>
      <c r="AV2" s="252"/>
      <c r="AW2" s="254"/>
      <c r="AX2" s="254"/>
      <c r="AY2" s="254"/>
      <c r="AZ2" s="254"/>
      <c r="BA2" s="248"/>
      <c r="BB2" s="250"/>
      <c r="BC2" s="259"/>
      <c r="BD2" s="259"/>
      <c r="BE2" s="248"/>
      <c r="BF2" s="248"/>
      <c r="BG2" s="248"/>
      <c r="BH2" s="252"/>
      <c r="BI2" s="248"/>
      <c r="BJ2" s="248"/>
      <c r="BK2" s="248"/>
      <c r="BL2" s="248"/>
      <c r="BM2" s="248"/>
      <c r="BN2" s="248"/>
      <c r="BP2" s="248"/>
      <c r="BQ2" s="248"/>
      <c r="BR2" s="248"/>
      <c r="BS2" s="248"/>
      <c r="BT2" s="250"/>
      <c r="BU2" s="250"/>
      <c r="BV2" s="250"/>
      <c r="BW2" s="250"/>
      <c r="BX2" s="248"/>
      <c r="BY2" s="248"/>
      <c r="BZ2" s="248"/>
      <c r="CA2" s="248"/>
      <c r="CB2" s="254"/>
      <c r="CC2" s="254"/>
      <c r="CD2" s="254"/>
      <c r="CE2" s="254"/>
      <c r="CF2" s="258"/>
      <c r="CG2" s="258"/>
      <c r="CH2" s="256"/>
      <c r="CI2" s="257"/>
      <c r="CJ2" s="256"/>
      <c r="CK2" s="255"/>
      <c r="CL2" s="248"/>
      <c r="CM2" s="248"/>
      <c r="CN2" s="248"/>
      <c r="CO2" s="248"/>
      <c r="CP2" s="248"/>
      <c r="CQ2" s="254"/>
      <c r="CR2" s="254"/>
      <c r="CS2" s="248"/>
      <c r="CT2" s="254"/>
      <c r="CU2" s="254"/>
      <c r="CV2" s="248"/>
      <c r="CW2" s="248"/>
      <c r="CX2" s="253"/>
      <c r="CY2" s="248"/>
      <c r="CZ2" s="248"/>
      <c r="DA2" s="248"/>
      <c r="DB2" s="248"/>
      <c r="DC2" s="248"/>
      <c r="DD2" s="248"/>
      <c r="DE2" s="248"/>
      <c r="DF2" s="248"/>
      <c r="DG2" s="248"/>
      <c r="DH2" s="248"/>
      <c r="DI2" s="248"/>
      <c r="DJ2" s="248"/>
      <c r="DK2" s="248"/>
      <c r="DL2" s="248"/>
      <c r="DM2" s="248"/>
      <c r="DN2" s="248"/>
      <c r="DO2" s="248"/>
      <c r="DP2" s="248"/>
      <c r="DQ2" s="250"/>
      <c r="DR2" s="250"/>
      <c r="DS2" s="250"/>
      <c r="DT2" s="250"/>
      <c r="DU2" s="250"/>
      <c r="DV2" s="250"/>
      <c r="DW2" s="250"/>
      <c r="DX2" s="250"/>
      <c r="DY2" s="250"/>
      <c r="DZ2" s="250"/>
      <c r="EA2" s="250"/>
      <c r="EB2" s="250"/>
      <c r="EC2" s="250"/>
      <c r="ED2" s="250"/>
      <c r="EE2" s="250"/>
      <c r="EF2" s="250"/>
      <c r="EG2" s="250"/>
      <c r="EH2" s="250"/>
      <c r="EI2" s="250"/>
      <c r="EJ2" s="250"/>
      <c r="EK2" s="250"/>
      <c r="EL2" s="250"/>
      <c r="EM2" s="250"/>
      <c r="EN2" s="250"/>
      <c r="EO2" s="250"/>
      <c r="EP2" s="251"/>
      <c r="EQ2" s="250"/>
      <c r="ER2" s="252"/>
      <c r="ES2" s="248"/>
      <c r="ET2" s="248"/>
      <c r="EU2" s="248"/>
      <c r="EW2" s="252"/>
      <c r="EY2" s="252"/>
      <c r="EZ2" s="248"/>
      <c r="FA2" s="248"/>
      <c r="FB2" s="248"/>
      <c r="FC2" s="248"/>
      <c r="FD2" s="248"/>
      <c r="FE2" s="248"/>
      <c r="FF2" s="248"/>
      <c r="FG2" s="248"/>
      <c r="FH2" s="248"/>
      <c r="FI2" s="248"/>
      <c r="FJ2" s="248"/>
      <c r="FK2" s="248"/>
      <c r="FL2" s="248"/>
      <c r="FM2" s="248"/>
      <c r="FN2" s="248"/>
      <c r="FO2" s="248"/>
      <c r="FP2" s="248"/>
      <c r="FQ2" s="248"/>
      <c r="FR2" s="248"/>
      <c r="FS2" s="248"/>
      <c r="FT2" s="248"/>
      <c r="FU2" s="248"/>
      <c r="FV2" s="248"/>
      <c r="FW2" s="248"/>
      <c r="FX2" s="248"/>
      <c r="FY2" s="248"/>
      <c r="FZ2" s="248"/>
      <c r="GA2" s="248"/>
      <c r="GB2" s="248"/>
      <c r="GC2" s="248"/>
      <c r="GD2" s="248"/>
      <c r="GE2" s="248"/>
      <c r="GF2" s="248"/>
      <c r="GG2" s="250"/>
      <c r="GH2" s="250"/>
      <c r="GI2" s="250"/>
      <c r="GJ2" s="250"/>
      <c r="GK2" s="250"/>
      <c r="GL2" s="250"/>
      <c r="GM2" s="250"/>
      <c r="GN2" s="250"/>
      <c r="GO2" s="250"/>
      <c r="GP2" s="250"/>
      <c r="GQ2" s="250"/>
      <c r="GR2" s="250"/>
      <c r="GS2" s="250"/>
      <c r="GT2" s="250"/>
      <c r="GU2" s="250"/>
      <c r="GV2" s="250"/>
      <c r="GW2" s="250"/>
      <c r="GX2" s="250"/>
      <c r="GY2" s="250"/>
      <c r="GZ2" s="250"/>
      <c r="HA2" s="250"/>
      <c r="HB2" s="250"/>
      <c r="HC2" s="250"/>
      <c r="HD2" s="250"/>
      <c r="HE2" s="250"/>
      <c r="HF2" s="250"/>
      <c r="HG2" s="250"/>
      <c r="HH2" s="251"/>
      <c r="HI2" s="250"/>
      <c r="HJ2" s="248"/>
      <c r="HK2" s="248"/>
      <c r="HL2" s="248"/>
      <c r="HM2" s="248"/>
      <c r="HN2" s="250"/>
    </row>
  </sheetData>
  <autoFilter ref="A1:HN2435" xr:uid="{00000000-0009-0000-0000-000003000000}"/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HN2"/>
  <sheetViews>
    <sheetView zoomScaleNormal="100" workbookViewId="0"/>
  </sheetViews>
  <sheetFormatPr baseColWidth="10" defaultColWidth="11.42578125" defaultRowHeight="15" x14ac:dyDescent="0.25"/>
  <cols>
    <col min="1" max="1" width="29.42578125" style="45" customWidth="1"/>
    <col min="2" max="3" width="46.5703125" style="45" customWidth="1"/>
    <col min="4" max="5" width="10.7109375" style="45" customWidth="1"/>
    <col min="6" max="7" width="14.85546875" style="243" customWidth="1"/>
    <col min="8" max="8" width="22.28515625" style="45" bestFit="1" customWidth="1"/>
    <col min="9" max="9" width="12.7109375" style="45" bestFit="1" customWidth="1"/>
    <col min="10" max="10" width="27.140625" style="45" bestFit="1" customWidth="1"/>
    <col min="11" max="11" width="22.140625" style="45" bestFit="1" customWidth="1"/>
    <col min="12" max="12" width="32" style="45" customWidth="1"/>
    <col min="13" max="13" width="23.42578125" style="400" bestFit="1" customWidth="1"/>
    <col min="14" max="14" width="11.42578125" style="45" customWidth="1"/>
    <col min="15" max="15" width="22.7109375" style="45" customWidth="1"/>
    <col min="16" max="16" width="32" style="45" customWidth="1"/>
    <col min="17" max="17" width="23.28515625" style="400" bestFit="1" customWidth="1"/>
    <col min="18" max="18" width="11.42578125" style="45" customWidth="1"/>
    <col min="19" max="19" width="22.7109375" style="45" customWidth="1"/>
    <col min="20" max="20" width="17.140625" style="45" customWidth="1"/>
    <col min="21" max="21" width="15.140625" style="45" customWidth="1"/>
    <col min="22" max="22" width="15.7109375" style="45" customWidth="1"/>
    <col min="23" max="23" width="18.140625" style="45" customWidth="1"/>
    <col min="24" max="27" width="17.140625" style="45" customWidth="1"/>
    <col min="28" max="32" width="11.5703125" style="45" customWidth="1"/>
    <col min="33" max="33" width="15.5703125" style="45" customWidth="1"/>
    <col min="34" max="34" width="21.28515625" customWidth="1"/>
    <col min="35" max="35" width="34.140625" customWidth="1"/>
    <col min="36" max="36" width="40" customWidth="1"/>
    <col min="37" max="37" width="38.7109375" customWidth="1"/>
    <col min="38" max="41" width="22.28515625" style="45" customWidth="1"/>
    <col min="42" max="42" width="26.5703125" customWidth="1"/>
    <col min="43" max="43" width="55.28515625" style="1" customWidth="1"/>
    <col min="44" max="44" width="26" style="243" customWidth="1"/>
    <col min="45" max="45" width="23.7109375" customWidth="1"/>
    <col min="46" max="46" width="24.140625" style="45" customWidth="1"/>
    <col min="47" max="47" width="26.5703125" customWidth="1"/>
    <col min="48" max="48" width="55.28515625" style="1" customWidth="1"/>
    <col min="49" max="49" width="26" style="45" customWidth="1"/>
    <col min="50" max="50" width="23.7109375" customWidth="1"/>
    <col min="51" max="51" width="24.140625" style="45" customWidth="1"/>
    <col min="52" max="52" width="13.5703125" style="243" customWidth="1"/>
    <col min="53" max="53" width="13.7109375" style="45" customWidth="1"/>
    <col min="54" max="54" width="16.7109375" customWidth="1"/>
    <col min="55" max="56" width="23.5703125" customWidth="1"/>
    <col min="57" max="59" width="25.7109375" style="248" customWidth="1"/>
    <col min="60" max="60" width="39.140625" customWidth="1"/>
    <col min="61" max="61" width="14.5703125" style="248" customWidth="1"/>
    <col min="62" max="63" width="15.28515625" customWidth="1"/>
    <col min="64" max="64" width="15.42578125" customWidth="1"/>
    <col min="65" max="65" width="14.5703125" customWidth="1"/>
    <col min="66" max="66" width="16.85546875" customWidth="1"/>
    <col min="67" max="67" width="14.85546875" customWidth="1"/>
    <col min="68" max="71" width="16.28515625" style="45" customWidth="1"/>
    <col min="72" max="74" width="12.28515625" style="240" customWidth="1"/>
    <col min="75" max="75" width="16.7109375" style="240" customWidth="1"/>
    <col min="76" max="77" width="15" style="45" customWidth="1"/>
    <col min="78" max="79" width="17.5703125" style="45" customWidth="1"/>
    <col min="80" max="80" width="16.7109375" style="243" customWidth="1"/>
    <col min="81" max="82" width="14.85546875" style="243" customWidth="1"/>
    <col min="83" max="83" width="13.42578125" style="243" customWidth="1"/>
    <col min="84" max="84" width="22" style="247" customWidth="1"/>
    <col min="85" max="85" width="47.28515625" style="247" customWidth="1"/>
    <col min="86" max="86" width="19.140625" style="245" customWidth="1"/>
    <col min="87" max="87" width="47.28515625" style="246" customWidth="1"/>
    <col min="88" max="88" width="24.42578125" style="245" customWidth="1"/>
    <col min="89" max="89" width="24.42578125" style="244" customWidth="1"/>
    <col min="90" max="90" width="24.42578125" style="45" customWidth="1"/>
    <col min="91" max="91" width="23.7109375" style="45" bestFit="1" customWidth="1"/>
    <col min="92" max="93" width="24.7109375" style="45" bestFit="1" customWidth="1"/>
    <col min="94" max="94" width="23.7109375" style="45" bestFit="1" customWidth="1"/>
    <col min="95" max="96" width="23.7109375" style="243" bestFit="1" customWidth="1"/>
    <col min="97" max="97" width="24.7109375" style="45" bestFit="1" customWidth="1"/>
    <col min="98" max="99" width="24.7109375" style="243" bestFit="1" customWidth="1"/>
    <col min="100" max="100" width="24.28515625" style="45" bestFit="1" customWidth="1"/>
    <col min="101" max="101" width="25.28515625" style="45" bestFit="1" customWidth="1"/>
    <col min="102" max="102" width="26.42578125" style="242" bestFit="1" customWidth="1"/>
    <col min="103" max="108" width="26.42578125" style="45" bestFit="1" customWidth="1"/>
    <col min="109" max="110" width="19" style="45" bestFit="1" customWidth="1"/>
    <col min="111" max="111" width="17.42578125" style="45" bestFit="1" customWidth="1"/>
    <col min="112" max="112" width="19" style="45" bestFit="1" customWidth="1"/>
    <col min="113" max="115" width="20" style="45" bestFit="1" customWidth="1"/>
    <col min="116" max="119" width="18.42578125" style="45" bestFit="1" customWidth="1"/>
    <col min="120" max="120" width="19.42578125" style="45" bestFit="1" customWidth="1"/>
    <col min="121" max="121" width="17.28515625" style="240" bestFit="1" customWidth="1"/>
    <col min="122" max="122" width="17" style="240" bestFit="1" customWidth="1"/>
    <col min="123" max="123" width="17.5703125" style="240" bestFit="1" customWidth="1"/>
    <col min="124" max="124" width="18.42578125" style="240" bestFit="1" customWidth="1"/>
    <col min="125" max="125" width="18.140625" style="240" bestFit="1" customWidth="1"/>
    <col min="126" max="126" width="18.7109375" style="240" bestFit="1" customWidth="1"/>
    <col min="127" max="127" width="16.5703125" style="240" bestFit="1" customWidth="1"/>
    <col min="128" max="128" width="16.28515625" style="240" bestFit="1" customWidth="1"/>
    <col min="129" max="129" width="16.85546875" style="240" bestFit="1" customWidth="1"/>
    <col min="130" max="130" width="15.5703125" style="240" bestFit="1" customWidth="1"/>
    <col min="131" max="131" width="15.28515625" style="240" bestFit="1" customWidth="1"/>
    <col min="132" max="132" width="15.85546875" style="240" bestFit="1" customWidth="1"/>
    <col min="133" max="133" width="20" style="240" bestFit="1" customWidth="1"/>
    <col min="134" max="134" width="19.7109375" style="240" bestFit="1" customWidth="1"/>
    <col min="135" max="135" width="20.28515625" style="240" bestFit="1" customWidth="1"/>
    <col min="136" max="136" width="16.5703125" style="240" bestFit="1" customWidth="1"/>
    <col min="137" max="137" width="16.28515625" style="240" bestFit="1" customWidth="1"/>
    <col min="138" max="139" width="16.85546875" style="240" bestFit="1" customWidth="1"/>
    <col min="140" max="140" width="16.5703125" style="240" bestFit="1" customWidth="1"/>
    <col min="141" max="141" width="17.140625" style="240" bestFit="1" customWidth="1"/>
    <col min="142" max="142" width="16.28515625" style="240" bestFit="1" customWidth="1"/>
    <col min="143" max="143" width="15.85546875" style="240" bestFit="1" customWidth="1"/>
    <col min="144" max="144" width="16.5703125" style="240" bestFit="1" customWidth="1"/>
    <col min="145" max="145" width="20" style="240" bestFit="1" customWidth="1"/>
    <col min="146" max="146" width="19.7109375" style="241" bestFit="1" customWidth="1"/>
    <col min="147" max="147" width="20.28515625" style="240" bestFit="1" customWidth="1"/>
    <col min="148" max="148" width="61.85546875" customWidth="1"/>
    <col min="149" max="149" width="19" style="45" bestFit="1" customWidth="1"/>
    <col min="150" max="151" width="21.28515625" style="45" customWidth="1"/>
    <col min="152" max="152" width="24.42578125" customWidth="1"/>
    <col min="153" max="153" width="57.140625" customWidth="1"/>
    <col min="154" max="154" width="20.42578125" customWidth="1"/>
    <col min="155" max="155" width="57.140625" customWidth="1"/>
    <col min="156" max="156" width="22.5703125" style="45" bestFit="1" customWidth="1"/>
    <col min="157" max="157" width="23.140625" style="45" bestFit="1" customWidth="1"/>
    <col min="158" max="158" width="17.85546875" style="45" bestFit="1" customWidth="1"/>
    <col min="159" max="159" width="26.140625" style="45" bestFit="1" customWidth="1"/>
    <col min="160" max="161" width="27.28515625" style="45" bestFit="1" customWidth="1"/>
    <col min="162" max="164" width="26.140625" style="45" bestFit="1" customWidth="1"/>
    <col min="165" max="167" width="27.28515625" style="45" bestFit="1" customWidth="1"/>
    <col min="168" max="168" width="26.85546875" style="45" bestFit="1" customWidth="1"/>
    <col min="169" max="169" width="27.85546875" style="45" bestFit="1" customWidth="1"/>
    <col min="170" max="176" width="28.85546875" style="45" bestFit="1" customWidth="1"/>
    <col min="177" max="178" width="21.5703125" style="45" bestFit="1" customWidth="1"/>
    <col min="179" max="179" width="19.85546875" style="45" bestFit="1" customWidth="1"/>
    <col min="180" max="180" width="21.5703125" style="45" bestFit="1" customWidth="1"/>
    <col min="181" max="183" width="22.5703125" style="45" bestFit="1" customWidth="1"/>
    <col min="184" max="187" width="20.85546875" style="45" bestFit="1" customWidth="1"/>
    <col min="188" max="188" width="22" style="45" bestFit="1" customWidth="1"/>
    <col min="189" max="189" width="19.7109375" style="240" bestFit="1" customWidth="1"/>
    <col min="190" max="190" width="19.42578125" style="240" bestFit="1" customWidth="1"/>
    <col min="191" max="191" width="20" style="240" bestFit="1" customWidth="1"/>
    <col min="192" max="192" width="20.85546875" style="240" bestFit="1" customWidth="1"/>
    <col min="193" max="193" width="20.5703125" style="240" customWidth="1"/>
    <col min="194" max="194" width="21.28515625" style="240" bestFit="1" customWidth="1"/>
    <col min="195" max="195" width="19" style="240" bestFit="1" customWidth="1"/>
    <col min="196" max="196" width="18.7109375" style="240" bestFit="1" customWidth="1"/>
    <col min="197" max="197" width="19.28515625" style="240" bestFit="1" customWidth="1"/>
    <col min="198" max="198" width="18.140625" style="240" bestFit="1" customWidth="1"/>
    <col min="199" max="199" width="17.85546875" style="240" bestFit="1" customWidth="1"/>
    <col min="200" max="200" width="18.42578125" style="240" bestFit="1" customWidth="1"/>
    <col min="201" max="201" width="22.5703125" style="240" bestFit="1" customWidth="1"/>
    <col min="202" max="202" width="22.28515625" style="240" bestFit="1" customWidth="1"/>
    <col min="203" max="203" width="22.85546875" style="240" bestFit="1" customWidth="1"/>
    <col min="204" max="204" width="19" style="240" bestFit="1" customWidth="1"/>
    <col min="205" max="205" width="18.7109375" style="240" bestFit="1" customWidth="1"/>
    <col min="206" max="207" width="19.28515625" style="240" bestFit="1" customWidth="1"/>
    <col min="208" max="208" width="19" style="240" bestFit="1" customWidth="1"/>
    <col min="209" max="209" width="19.5703125" style="240" bestFit="1" customWidth="1"/>
    <col min="210" max="210" width="18.7109375" style="240" bestFit="1" customWidth="1"/>
    <col min="211" max="211" width="18.42578125" style="240" bestFit="1" customWidth="1"/>
    <col min="212" max="212" width="19" style="240" bestFit="1" customWidth="1"/>
    <col min="213" max="213" width="22.5703125" style="240" bestFit="1" customWidth="1"/>
    <col min="214" max="214" width="22.28515625" style="240" bestFit="1" customWidth="1"/>
    <col min="215" max="215" width="22.85546875" style="240" bestFit="1" customWidth="1"/>
    <col min="216" max="216" width="76.140625" style="240" customWidth="1"/>
    <col min="217" max="217" width="21.5703125" style="240" bestFit="1" customWidth="1"/>
    <col min="218" max="218" width="19.85546875" style="45" bestFit="1" customWidth="1"/>
    <col min="219" max="219" width="18.28515625" style="45" bestFit="1" customWidth="1"/>
    <col min="220" max="221" width="25.5703125" style="45" customWidth="1"/>
    <col min="222" max="222" width="22.85546875" customWidth="1"/>
  </cols>
  <sheetData>
    <row r="1" spans="1:222" s="260" customFormat="1" x14ac:dyDescent="0.25">
      <c r="A1" s="261" t="s">
        <v>301</v>
      </c>
      <c r="B1" s="261" t="s">
        <v>300</v>
      </c>
      <c r="C1" s="261" t="s">
        <v>299</v>
      </c>
      <c r="D1" s="261" t="s">
        <v>298</v>
      </c>
      <c r="E1" s="261" t="s">
        <v>297</v>
      </c>
      <c r="F1" s="322" t="s">
        <v>296</v>
      </c>
      <c r="G1" s="322" t="s">
        <v>295</v>
      </c>
      <c r="H1" s="261" t="s">
        <v>294</v>
      </c>
      <c r="I1" s="261" t="s">
        <v>293</v>
      </c>
      <c r="J1" s="261" t="s">
        <v>292</v>
      </c>
      <c r="K1" s="261" t="s">
        <v>291</v>
      </c>
      <c r="L1" s="261" t="s">
        <v>290</v>
      </c>
      <c r="M1" s="398" t="s">
        <v>289</v>
      </c>
      <c r="N1" s="261" t="s">
        <v>288</v>
      </c>
      <c r="O1" s="261" t="s">
        <v>287</v>
      </c>
      <c r="P1" s="261" t="s">
        <v>286</v>
      </c>
      <c r="Q1" s="398" t="s">
        <v>285</v>
      </c>
      <c r="R1" s="261" t="s">
        <v>284</v>
      </c>
      <c r="S1" s="261" t="s">
        <v>283</v>
      </c>
      <c r="T1" s="261" t="s">
        <v>282</v>
      </c>
      <c r="U1" s="261" t="s">
        <v>281</v>
      </c>
      <c r="V1" s="261" t="s">
        <v>280</v>
      </c>
      <c r="W1" s="261" t="s">
        <v>279</v>
      </c>
      <c r="X1" s="261" t="s">
        <v>278</v>
      </c>
      <c r="Y1" s="261" t="s">
        <v>277</v>
      </c>
      <c r="Z1" s="261" t="s">
        <v>276</v>
      </c>
      <c r="AA1" s="261" t="s">
        <v>275</v>
      </c>
      <c r="AB1" s="261" t="s">
        <v>274</v>
      </c>
      <c r="AC1" s="261" t="s">
        <v>273</v>
      </c>
      <c r="AD1" s="261" t="s">
        <v>272</v>
      </c>
      <c r="AE1" s="261" t="s">
        <v>271</v>
      </c>
      <c r="AF1" s="261" t="s">
        <v>270</v>
      </c>
      <c r="AG1" s="261" t="s">
        <v>269</v>
      </c>
      <c r="AH1" s="260" t="s">
        <v>268</v>
      </c>
      <c r="AI1" s="260" t="s">
        <v>267</v>
      </c>
      <c r="AJ1" s="260" t="s">
        <v>266</v>
      </c>
      <c r="AK1" s="260" t="s">
        <v>265</v>
      </c>
      <c r="AL1" s="261" t="s">
        <v>264</v>
      </c>
      <c r="AM1" s="261" t="s">
        <v>263</v>
      </c>
      <c r="AN1" s="261" t="s">
        <v>262</v>
      </c>
      <c r="AO1" s="261" t="s">
        <v>261</v>
      </c>
      <c r="AP1" s="260" t="s">
        <v>260</v>
      </c>
      <c r="AQ1" s="264" t="s">
        <v>259</v>
      </c>
      <c r="AR1" s="261" t="s">
        <v>258</v>
      </c>
      <c r="AS1" s="261" t="s">
        <v>257</v>
      </c>
      <c r="AT1" s="261" t="s">
        <v>256</v>
      </c>
      <c r="AU1" s="260" t="s">
        <v>255</v>
      </c>
      <c r="AV1" s="264" t="s">
        <v>254</v>
      </c>
      <c r="AW1" s="261" t="s">
        <v>253</v>
      </c>
      <c r="AX1" s="260" t="s">
        <v>252</v>
      </c>
      <c r="AY1" s="261" t="s">
        <v>251</v>
      </c>
      <c r="AZ1" s="261" t="s">
        <v>250</v>
      </c>
      <c r="BA1" s="261" t="s">
        <v>249</v>
      </c>
      <c r="BB1" s="260" t="s">
        <v>248</v>
      </c>
      <c r="BC1" s="260" t="s">
        <v>247</v>
      </c>
      <c r="BD1" s="260" t="s">
        <v>246</v>
      </c>
      <c r="BE1" s="263" t="s">
        <v>245</v>
      </c>
      <c r="BF1" s="263" t="s">
        <v>244</v>
      </c>
      <c r="BG1" s="263" t="s">
        <v>243</v>
      </c>
      <c r="BH1" s="260" t="s">
        <v>242</v>
      </c>
      <c r="BI1" s="263" t="s">
        <v>241</v>
      </c>
      <c r="BJ1" s="260" t="s">
        <v>240</v>
      </c>
      <c r="BK1" s="260" t="s">
        <v>239</v>
      </c>
      <c r="BL1" s="260" t="s">
        <v>238</v>
      </c>
      <c r="BM1" s="260" t="s">
        <v>237</v>
      </c>
      <c r="BN1" s="260" t="s">
        <v>236</v>
      </c>
      <c r="BO1" s="260" t="s">
        <v>235</v>
      </c>
      <c r="BP1" s="261" t="s">
        <v>234</v>
      </c>
      <c r="BQ1" s="261" t="s">
        <v>233</v>
      </c>
      <c r="BR1" s="261" t="s">
        <v>232</v>
      </c>
      <c r="BS1" s="261" t="s">
        <v>231</v>
      </c>
      <c r="BT1" s="261" t="s">
        <v>230</v>
      </c>
      <c r="BU1" s="261" t="s">
        <v>229</v>
      </c>
      <c r="BV1" s="261" t="s">
        <v>228</v>
      </c>
      <c r="BW1" s="261" t="s">
        <v>227</v>
      </c>
      <c r="BX1" s="261" t="s">
        <v>226</v>
      </c>
      <c r="BY1" s="261" t="s">
        <v>225</v>
      </c>
      <c r="BZ1" s="261" t="s">
        <v>224</v>
      </c>
      <c r="CA1" s="261" t="s">
        <v>223</v>
      </c>
      <c r="CB1" s="261" t="s">
        <v>222</v>
      </c>
      <c r="CC1" s="261" t="s">
        <v>221</v>
      </c>
      <c r="CD1" s="261" t="s">
        <v>220</v>
      </c>
      <c r="CE1" s="261" t="s">
        <v>219</v>
      </c>
      <c r="CF1" s="260" t="s">
        <v>218</v>
      </c>
      <c r="CG1" s="260" t="s">
        <v>217</v>
      </c>
      <c r="CH1" s="261" t="s">
        <v>216</v>
      </c>
      <c r="CI1" s="260" t="s">
        <v>215</v>
      </c>
      <c r="CJ1" s="261" t="s">
        <v>214</v>
      </c>
      <c r="CK1" s="261" t="s">
        <v>213</v>
      </c>
      <c r="CL1" s="261" t="s">
        <v>212</v>
      </c>
      <c r="CM1" s="261" t="s">
        <v>211</v>
      </c>
      <c r="CN1" s="261" t="s">
        <v>210</v>
      </c>
      <c r="CO1" s="261" t="s">
        <v>209</v>
      </c>
      <c r="CP1" s="261" t="s">
        <v>208</v>
      </c>
      <c r="CQ1" s="261" t="s">
        <v>207</v>
      </c>
      <c r="CR1" s="261" t="s">
        <v>206</v>
      </c>
      <c r="CS1" s="261" t="s">
        <v>205</v>
      </c>
      <c r="CT1" s="261" t="s">
        <v>204</v>
      </c>
      <c r="CU1" s="261" t="s">
        <v>203</v>
      </c>
      <c r="CV1" s="261" t="s">
        <v>202</v>
      </c>
      <c r="CW1" s="261" t="s">
        <v>201</v>
      </c>
      <c r="CX1" s="261" t="s">
        <v>200</v>
      </c>
      <c r="CY1" s="261" t="s">
        <v>199</v>
      </c>
      <c r="CZ1" s="261" t="s">
        <v>198</v>
      </c>
      <c r="DA1" s="261" t="s">
        <v>197</v>
      </c>
      <c r="DB1" s="261" t="s">
        <v>196</v>
      </c>
      <c r="DC1" s="261" t="s">
        <v>195</v>
      </c>
      <c r="DD1" s="261" t="s">
        <v>194</v>
      </c>
      <c r="DE1" s="261" t="s">
        <v>193</v>
      </c>
      <c r="DF1" s="261" t="s">
        <v>192</v>
      </c>
      <c r="DG1" s="261" t="s">
        <v>191</v>
      </c>
      <c r="DH1" s="261" t="s">
        <v>190</v>
      </c>
      <c r="DI1" s="261" t="s">
        <v>189</v>
      </c>
      <c r="DJ1" s="261" t="s">
        <v>188</v>
      </c>
      <c r="DK1" s="261" t="s">
        <v>187</v>
      </c>
      <c r="DL1" s="261" t="s">
        <v>186</v>
      </c>
      <c r="DM1" s="261" t="s">
        <v>185</v>
      </c>
      <c r="DN1" s="261" t="s">
        <v>184</v>
      </c>
      <c r="DO1" s="261" t="s">
        <v>183</v>
      </c>
      <c r="DP1" s="261" t="s">
        <v>182</v>
      </c>
      <c r="DQ1" s="262" t="s">
        <v>181</v>
      </c>
      <c r="DR1" s="262" t="s">
        <v>180</v>
      </c>
      <c r="DS1" s="262" t="s">
        <v>179</v>
      </c>
      <c r="DT1" s="262" t="s">
        <v>178</v>
      </c>
      <c r="DU1" s="262" t="s">
        <v>177</v>
      </c>
      <c r="DV1" s="262" t="s">
        <v>176</v>
      </c>
      <c r="DW1" s="262" t="s">
        <v>175</v>
      </c>
      <c r="DX1" s="262" t="s">
        <v>174</v>
      </c>
      <c r="DY1" s="262" t="s">
        <v>173</v>
      </c>
      <c r="DZ1" s="262" t="s">
        <v>172</v>
      </c>
      <c r="EA1" s="262" t="s">
        <v>171</v>
      </c>
      <c r="EB1" s="262" t="s">
        <v>170</v>
      </c>
      <c r="EC1" s="262" t="s">
        <v>169</v>
      </c>
      <c r="ED1" s="262" t="s">
        <v>168</v>
      </c>
      <c r="EE1" s="262" t="s">
        <v>167</v>
      </c>
      <c r="EF1" s="262" t="s">
        <v>166</v>
      </c>
      <c r="EG1" s="262" t="s">
        <v>165</v>
      </c>
      <c r="EH1" s="262" t="s">
        <v>164</v>
      </c>
      <c r="EI1" s="262" t="s">
        <v>163</v>
      </c>
      <c r="EJ1" s="262" t="s">
        <v>162</v>
      </c>
      <c r="EK1" s="262" t="s">
        <v>161</v>
      </c>
      <c r="EL1" s="262" t="s">
        <v>160</v>
      </c>
      <c r="EM1" s="262" t="s">
        <v>159</v>
      </c>
      <c r="EN1" s="262" t="s">
        <v>158</v>
      </c>
      <c r="EO1" s="262" t="s">
        <v>157</v>
      </c>
      <c r="EP1" s="262" t="s">
        <v>156</v>
      </c>
      <c r="EQ1" s="262" t="s">
        <v>155</v>
      </c>
      <c r="ER1" s="260" t="s">
        <v>154</v>
      </c>
      <c r="ES1" s="261" t="s">
        <v>153</v>
      </c>
      <c r="ET1" s="261" t="s">
        <v>152</v>
      </c>
      <c r="EU1" s="261" t="s">
        <v>151</v>
      </c>
      <c r="EV1" s="260" t="s">
        <v>150</v>
      </c>
      <c r="EW1" s="260" t="s">
        <v>149</v>
      </c>
      <c r="EX1" s="260" t="s">
        <v>148</v>
      </c>
      <c r="EY1" s="260" t="s">
        <v>147</v>
      </c>
      <c r="EZ1" s="261" t="s">
        <v>146</v>
      </c>
      <c r="FA1" s="261" t="s">
        <v>145</v>
      </c>
      <c r="FB1" s="261" t="s">
        <v>144</v>
      </c>
      <c r="FC1" s="261" t="s">
        <v>143</v>
      </c>
      <c r="FD1" s="261" t="s">
        <v>142</v>
      </c>
      <c r="FE1" s="261" t="s">
        <v>141</v>
      </c>
      <c r="FF1" s="261" t="s">
        <v>140</v>
      </c>
      <c r="FG1" s="261" t="s">
        <v>139</v>
      </c>
      <c r="FH1" s="261" t="s">
        <v>138</v>
      </c>
      <c r="FI1" s="261" t="s">
        <v>137</v>
      </c>
      <c r="FJ1" s="261" t="s">
        <v>136</v>
      </c>
      <c r="FK1" s="261" t="s">
        <v>135</v>
      </c>
      <c r="FL1" s="261" t="s">
        <v>134</v>
      </c>
      <c r="FM1" s="261" t="s">
        <v>133</v>
      </c>
      <c r="FN1" s="261" t="s">
        <v>132</v>
      </c>
      <c r="FO1" s="261" t="s">
        <v>131</v>
      </c>
      <c r="FP1" s="261" t="s">
        <v>130</v>
      </c>
      <c r="FQ1" s="261" t="s">
        <v>129</v>
      </c>
      <c r="FR1" s="261" t="s">
        <v>128</v>
      </c>
      <c r="FS1" s="261" t="s">
        <v>127</v>
      </c>
      <c r="FT1" s="261" t="s">
        <v>126</v>
      </c>
      <c r="FU1" s="261" t="s">
        <v>125</v>
      </c>
      <c r="FV1" s="261" t="s">
        <v>124</v>
      </c>
      <c r="FW1" s="261" t="s">
        <v>123</v>
      </c>
      <c r="FX1" s="261" t="s">
        <v>122</v>
      </c>
      <c r="FY1" s="261" t="s">
        <v>121</v>
      </c>
      <c r="FZ1" s="261" t="s">
        <v>120</v>
      </c>
      <c r="GA1" s="261" t="s">
        <v>119</v>
      </c>
      <c r="GB1" s="261" t="s">
        <v>118</v>
      </c>
      <c r="GC1" s="261" t="s">
        <v>117</v>
      </c>
      <c r="GD1" s="261" t="s">
        <v>116</v>
      </c>
      <c r="GE1" s="261" t="s">
        <v>115</v>
      </c>
      <c r="GF1" s="261" t="s">
        <v>114</v>
      </c>
      <c r="GG1" s="262" t="s">
        <v>113</v>
      </c>
      <c r="GH1" s="262" t="s">
        <v>112</v>
      </c>
      <c r="GI1" s="262" t="s">
        <v>111</v>
      </c>
      <c r="GJ1" s="262" t="s">
        <v>110</v>
      </c>
      <c r="GK1" s="262" t="s">
        <v>109</v>
      </c>
      <c r="GL1" s="262" t="s">
        <v>108</v>
      </c>
      <c r="GM1" s="262" t="s">
        <v>107</v>
      </c>
      <c r="GN1" s="262" t="s">
        <v>106</v>
      </c>
      <c r="GO1" s="262" t="s">
        <v>105</v>
      </c>
      <c r="GP1" s="262" t="s">
        <v>104</v>
      </c>
      <c r="GQ1" s="262" t="s">
        <v>103</v>
      </c>
      <c r="GR1" s="262" t="s">
        <v>102</v>
      </c>
      <c r="GS1" s="262" t="s">
        <v>101</v>
      </c>
      <c r="GT1" s="262" t="s">
        <v>100</v>
      </c>
      <c r="GU1" s="262" t="s">
        <v>99</v>
      </c>
      <c r="GV1" s="262" t="s">
        <v>98</v>
      </c>
      <c r="GW1" s="262" t="s">
        <v>97</v>
      </c>
      <c r="GX1" s="262" t="s">
        <v>96</v>
      </c>
      <c r="GY1" s="262" t="s">
        <v>95</v>
      </c>
      <c r="GZ1" s="262" t="s">
        <v>94</v>
      </c>
      <c r="HA1" s="262" t="s">
        <v>93</v>
      </c>
      <c r="HB1" s="262" t="s">
        <v>92</v>
      </c>
      <c r="HC1" s="262" t="s">
        <v>91</v>
      </c>
      <c r="HD1" s="262" t="s">
        <v>90</v>
      </c>
      <c r="HE1" s="262" t="s">
        <v>89</v>
      </c>
      <c r="HF1" s="262" t="s">
        <v>88</v>
      </c>
      <c r="HG1" s="262" t="s">
        <v>87</v>
      </c>
      <c r="HH1" s="262" t="s">
        <v>86</v>
      </c>
      <c r="HI1" s="262" t="s">
        <v>85</v>
      </c>
      <c r="HJ1" s="261" t="s">
        <v>84</v>
      </c>
      <c r="HK1" s="261" t="s">
        <v>83</v>
      </c>
      <c r="HL1" s="261" t="s">
        <v>82</v>
      </c>
      <c r="HM1" s="261" t="s">
        <v>81</v>
      </c>
      <c r="HN1" s="261"/>
    </row>
    <row r="2" spans="1:222" s="249" customFormat="1" x14ac:dyDescent="0.25">
      <c r="A2" s="248"/>
      <c r="B2" s="248"/>
      <c r="C2" s="248"/>
      <c r="D2" s="248"/>
      <c r="E2" s="248"/>
      <c r="F2" s="254"/>
      <c r="G2" s="254"/>
      <c r="H2" s="248"/>
      <c r="I2" s="248"/>
      <c r="J2" s="259"/>
      <c r="K2" s="259"/>
      <c r="L2" s="248"/>
      <c r="M2" s="399"/>
      <c r="N2" s="248"/>
      <c r="O2" s="248"/>
      <c r="P2" s="248"/>
      <c r="Q2" s="399"/>
      <c r="R2" s="248"/>
      <c r="S2" s="248"/>
      <c r="T2" s="248"/>
      <c r="U2" s="248"/>
      <c r="V2" s="248"/>
      <c r="W2" s="248"/>
      <c r="X2" s="248"/>
      <c r="Y2" s="248"/>
      <c r="Z2" s="248"/>
      <c r="AA2" s="248"/>
      <c r="AB2" s="248"/>
      <c r="AC2" s="248"/>
      <c r="AD2" s="248"/>
      <c r="AE2" s="248"/>
      <c r="AF2" s="248"/>
      <c r="AG2" s="248"/>
      <c r="AL2" s="248"/>
      <c r="AM2" s="248"/>
      <c r="AN2" s="248"/>
      <c r="AO2" s="248"/>
      <c r="AQ2" s="252"/>
      <c r="AR2" s="254"/>
      <c r="AS2" s="254"/>
      <c r="AT2" s="254"/>
      <c r="AV2" s="252"/>
      <c r="AW2" s="254"/>
      <c r="AX2" s="254"/>
      <c r="AY2" s="254"/>
      <c r="AZ2" s="254"/>
      <c r="BA2" s="248"/>
      <c r="BB2" s="250"/>
      <c r="BC2" s="259"/>
      <c r="BD2" s="259"/>
      <c r="BE2" s="248"/>
      <c r="BF2" s="248"/>
      <c r="BG2" s="248"/>
      <c r="BH2" s="252"/>
      <c r="BI2" s="248"/>
      <c r="BJ2" s="248"/>
      <c r="BK2" s="248"/>
      <c r="BL2" s="248"/>
      <c r="BM2" s="248"/>
      <c r="BN2" s="248"/>
      <c r="BP2" s="248"/>
      <c r="BQ2" s="248"/>
      <c r="BR2" s="248"/>
      <c r="BS2" s="248"/>
      <c r="BT2" s="250"/>
      <c r="BU2" s="250"/>
      <c r="BV2" s="250"/>
      <c r="BW2" s="250"/>
      <c r="BX2" s="248"/>
      <c r="BY2" s="248"/>
      <c r="BZ2" s="248"/>
      <c r="CA2" s="248"/>
      <c r="CB2" s="254"/>
      <c r="CC2" s="254"/>
      <c r="CD2" s="254"/>
      <c r="CE2" s="254"/>
      <c r="CF2" s="258"/>
      <c r="CG2" s="258"/>
      <c r="CH2" s="256"/>
      <c r="CI2" s="257"/>
      <c r="CJ2" s="256"/>
      <c r="CK2" s="255"/>
      <c r="CL2" s="248"/>
      <c r="CM2" s="248"/>
      <c r="CN2" s="248"/>
      <c r="CO2" s="248"/>
      <c r="CP2" s="248"/>
      <c r="CQ2" s="254"/>
      <c r="CR2" s="254"/>
      <c r="CS2" s="248"/>
      <c r="CT2" s="254"/>
      <c r="CU2" s="254"/>
      <c r="CV2" s="248"/>
      <c r="CW2" s="248"/>
      <c r="CX2" s="253"/>
      <c r="CY2" s="248"/>
      <c r="CZ2" s="248"/>
      <c r="DA2" s="248"/>
      <c r="DB2" s="248"/>
      <c r="DC2" s="248"/>
      <c r="DD2" s="248"/>
      <c r="DE2" s="248"/>
      <c r="DF2" s="248"/>
      <c r="DG2" s="248"/>
      <c r="DH2" s="248"/>
      <c r="DI2" s="248"/>
      <c r="DJ2" s="248"/>
      <c r="DK2" s="248"/>
      <c r="DL2" s="248"/>
      <c r="DM2" s="248"/>
      <c r="DN2" s="248"/>
      <c r="DO2" s="248"/>
      <c r="DP2" s="248"/>
      <c r="DQ2" s="250"/>
      <c r="DR2" s="250"/>
      <c r="DS2" s="250"/>
      <c r="DT2" s="250"/>
      <c r="DU2" s="250"/>
      <c r="DV2" s="250"/>
      <c r="DW2" s="250"/>
      <c r="DX2" s="250"/>
      <c r="DY2" s="250"/>
      <c r="DZ2" s="250"/>
      <c r="EA2" s="250"/>
      <c r="EB2" s="250"/>
      <c r="EC2" s="250"/>
      <c r="ED2" s="250"/>
      <c r="EE2" s="250"/>
      <c r="EF2" s="250"/>
      <c r="EG2" s="250"/>
      <c r="EH2" s="250"/>
      <c r="EI2" s="250"/>
      <c r="EJ2" s="250"/>
      <c r="EK2" s="250"/>
      <c r="EL2" s="250"/>
      <c r="EM2" s="250"/>
      <c r="EN2" s="250"/>
      <c r="EO2" s="250"/>
      <c r="EP2" s="251"/>
      <c r="EQ2" s="250"/>
      <c r="ER2" s="252"/>
      <c r="ES2" s="248"/>
      <c r="ET2" s="248"/>
      <c r="EU2" s="248"/>
      <c r="EW2" s="252"/>
      <c r="EY2" s="252"/>
      <c r="EZ2" s="248"/>
      <c r="FA2" s="248"/>
      <c r="FB2" s="248"/>
      <c r="FC2" s="248"/>
      <c r="FD2" s="248"/>
      <c r="FE2" s="248"/>
      <c r="FF2" s="248"/>
      <c r="FG2" s="248"/>
      <c r="FH2" s="248"/>
      <c r="FI2" s="248"/>
      <c r="FJ2" s="248"/>
      <c r="FK2" s="248"/>
      <c r="FL2" s="248"/>
      <c r="FM2" s="248"/>
      <c r="FN2" s="248"/>
      <c r="FO2" s="248"/>
      <c r="FP2" s="248"/>
      <c r="FQ2" s="248"/>
      <c r="FR2" s="248"/>
      <c r="FS2" s="248"/>
      <c r="FT2" s="248"/>
      <c r="FU2" s="248"/>
      <c r="FV2" s="248"/>
      <c r="FW2" s="248"/>
      <c r="FX2" s="248"/>
      <c r="FY2" s="248"/>
      <c r="FZ2" s="248"/>
      <c r="GA2" s="248"/>
      <c r="GB2" s="248"/>
      <c r="GC2" s="248"/>
      <c r="GD2" s="248"/>
      <c r="GE2" s="248"/>
      <c r="GF2" s="248"/>
      <c r="GG2" s="250"/>
      <c r="GH2" s="250"/>
      <c r="GI2" s="250"/>
      <c r="GJ2" s="250"/>
      <c r="GK2" s="250"/>
      <c r="GL2" s="250"/>
      <c r="GM2" s="250"/>
      <c r="GN2" s="250"/>
      <c r="GO2" s="250"/>
      <c r="GP2" s="250"/>
      <c r="GQ2" s="250"/>
      <c r="GR2" s="250"/>
      <c r="GS2" s="250"/>
      <c r="GT2" s="250"/>
      <c r="GU2" s="250"/>
      <c r="GV2" s="250"/>
      <c r="GW2" s="250"/>
      <c r="GX2" s="250"/>
      <c r="GY2" s="250"/>
      <c r="GZ2" s="250"/>
      <c r="HA2" s="250"/>
      <c r="HB2" s="250"/>
      <c r="HC2" s="250"/>
      <c r="HD2" s="250"/>
      <c r="HE2" s="250"/>
      <c r="HF2" s="250"/>
      <c r="HG2" s="250"/>
      <c r="HH2" s="251"/>
      <c r="HI2" s="250"/>
      <c r="HJ2" s="248"/>
      <c r="HK2" s="248"/>
      <c r="HL2" s="248"/>
      <c r="HM2" s="248"/>
      <c r="HN2" s="250"/>
    </row>
  </sheetData>
  <autoFilter ref="A1:HN2481" xr:uid="{00000000-0009-0000-0000-000004000000}"/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HN2"/>
  <sheetViews>
    <sheetView zoomScaleNormal="100" workbookViewId="0"/>
  </sheetViews>
  <sheetFormatPr baseColWidth="10" defaultColWidth="11.42578125" defaultRowHeight="15" x14ac:dyDescent="0.25"/>
  <cols>
    <col min="1" max="1" width="29.42578125" style="45" customWidth="1"/>
    <col min="2" max="3" width="46.5703125" style="45" customWidth="1"/>
    <col min="4" max="5" width="10.7109375" style="45" customWidth="1"/>
    <col min="6" max="7" width="14.85546875" style="243" customWidth="1"/>
    <col min="8" max="8" width="22.28515625" style="45" bestFit="1" customWidth="1"/>
    <col min="9" max="9" width="12.7109375" style="45" bestFit="1" customWidth="1"/>
    <col min="10" max="10" width="27.140625" style="45" bestFit="1" customWidth="1"/>
    <col min="11" max="11" width="22.140625" style="45" bestFit="1" customWidth="1"/>
    <col min="12" max="12" width="32" style="45" customWidth="1"/>
    <col min="13" max="13" width="20.28515625" style="400" customWidth="1"/>
    <col min="14" max="14" width="11.42578125" style="45" customWidth="1"/>
    <col min="15" max="15" width="22.7109375" style="45" customWidth="1"/>
    <col min="16" max="16" width="32" style="45" customWidth="1"/>
    <col min="17" max="17" width="23.28515625" style="400" bestFit="1" customWidth="1"/>
    <col min="18" max="18" width="11.42578125" style="45" customWidth="1"/>
    <col min="19" max="19" width="22.7109375" style="45" customWidth="1"/>
    <col min="20" max="20" width="17.140625" style="45" customWidth="1"/>
    <col min="21" max="21" width="15.140625" style="45" customWidth="1"/>
    <col min="22" max="22" width="15.7109375" style="45" customWidth="1"/>
    <col min="23" max="23" width="18.140625" style="45" customWidth="1"/>
    <col min="24" max="27" width="17.140625" style="45" customWidth="1"/>
    <col min="28" max="32" width="11.5703125" style="45" customWidth="1"/>
    <col min="33" max="33" width="15.5703125" style="45" customWidth="1"/>
    <col min="34" max="34" width="21.28515625" customWidth="1"/>
    <col min="35" max="35" width="34.140625" customWidth="1"/>
    <col min="36" max="36" width="40" customWidth="1"/>
    <col min="37" max="37" width="38.7109375" customWidth="1"/>
    <col min="38" max="41" width="22.28515625" style="45" customWidth="1"/>
    <col min="42" max="42" width="26.5703125" customWidth="1"/>
    <col min="43" max="43" width="55.28515625" style="1" customWidth="1"/>
    <col min="44" max="44" width="26" style="243" customWidth="1"/>
    <col min="45" max="45" width="23.7109375" customWidth="1"/>
    <col min="46" max="46" width="24.140625" style="45" customWidth="1"/>
    <col min="47" max="47" width="26.5703125" customWidth="1"/>
    <col min="48" max="48" width="55.28515625" style="1" customWidth="1"/>
    <col min="49" max="49" width="26" style="45" customWidth="1"/>
    <col min="50" max="50" width="23.7109375" customWidth="1"/>
    <col min="51" max="51" width="24.140625" style="45" customWidth="1"/>
    <col min="52" max="52" width="13.5703125" style="243" customWidth="1"/>
    <col min="53" max="53" width="13.7109375" style="45" customWidth="1"/>
    <col min="54" max="54" width="16.7109375" customWidth="1"/>
    <col min="55" max="56" width="23.5703125" customWidth="1"/>
    <col min="57" max="59" width="25.7109375" style="248" customWidth="1"/>
    <col min="60" max="60" width="39.140625" customWidth="1"/>
    <col min="61" max="61" width="14.5703125" style="248" customWidth="1"/>
    <col min="62" max="63" width="15.28515625" customWidth="1"/>
    <col min="64" max="64" width="15.42578125" customWidth="1"/>
    <col min="65" max="65" width="14.5703125" customWidth="1"/>
    <col min="66" max="66" width="16.85546875" customWidth="1"/>
    <col min="67" max="67" width="14.85546875" customWidth="1"/>
    <col min="68" max="71" width="16.28515625" style="45" customWidth="1"/>
    <col min="72" max="74" width="12.28515625" style="240" customWidth="1"/>
    <col min="75" max="75" width="16.7109375" style="240" customWidth="1"/>
    <col min="76" max="77" width="15" style="45" customWidth="1"/>
    <col min="78" max="79" width="17.5703125" style="45" customWidth="1"/>
    <col min="80" max="80" width="16.7109375" style="243" customWidth="1"/>
    <col min="81" max="82" width="14.85546875" style="243" customWidth="1"/>
    <col min="83" max="83" width="13.42578125" style="243" customWidth="1"/>
    <col min="84" max="84" width="22" style="247" customWidth="1"/>
    <col min="85" max="85" width="47.28515625" style="247" customWidth="1"/>
    <col min="86" max="86" width="19.140625" style="245" customWidth="1"/>
    <col min="87" max="87" width="47.28515625" style="246" customWidth="1"/>
    <col min="88" max="88" width="24.42578125" style="245" customWidth="1"/>
    <col min="89" max="89" width="24.42578125" style="244" customWidth="1"/>
    <col min="90" max="90" width="24.42578125" style="45" customWidth="1"/>
    <col min="91" max="91" width="23.7109375" style="45" bestFit="1" customWidth="1"/>
    <col min="92" max="93" width="24.7109375" style="45" bestFit="1" customWidth="1"/>
    <col min="94" max="94" width="23.7109375" style="45" bestFit="1" customWidth="1"/>
    <col min="95" max="96" width="23.7109375" style="243" bestFit="1" customWidth="1"/>
    <col min="97" max="97" width="24.7109375" style="45" bestFit="1" customWidth="1"/>
    <col min="98" max="99" width="24.7109375" style="243" bestFit="1" customWidth="1"/>
    <col min="100" max="100" width="24.28515625" style="45" bestFit="1" customWidth="1"/>
    <col min="101" max="101" width="25.28515625" style="45" bestFit="1" customWidth="1"/>
    <col min="102" max="102" width="26.42578125" style="242" bestFit="1" customWidth="1"/>
    <col min="103" max="108" width="26.42578125" style="45" bestFit="1" customWidth="1"/>
    <col min="109" max="110" width="19" style="45" bestFit="1" customWidth="1"/>
    <col min="111" max="111" width="17.42578125" style="45" bestFit="1" customWidth="1"/>
    <col min="112" max="112" width="19" style="45" bestFit="1" customWidth="1"/>
    <col min="113" max="115" width="20" style="45" bestFit="1" customWidth="1"/>
    <col min="116" max="119" width="18.42578125" style="45" bestFit="1" customWidth="1"/>
    <col min="120" max="120" width="19.42578125" style="45" bestFit="1" customWidth="1"/>
    <col min="121" max="121" width="17.28515625" style="240" bestFit="1" customWidth="1"/>
    <col min="122" max="122" width="17" style="240" bestFit="1" customWidth="1"/>
    <col min="123" max="123" width="17.5703125" style="240" bestFit="1" customWidth="1"/>
    <col min="124" max="124" width="18.42578125" style="240" bestFit="1" customWidth="1"/>
    <col min="125" max="125" width="18.140625" style="240" bestFit="1" customWidth="1"/>
    <col min="126" max="126" width="18.7109375" style="240" bestFit="1" customWidth="1"/>
    <col min="127" max="127" width="16.5703125" style="240" bestFit="1" customWidth="1"/>
    <col min="128" max="128" width="16.28515625" style="240" bestFit="1" customWidth="1"/>
    <col min="129" max="129" width="16.85546875" style="240" bestFit="1" customWidth="1"/>
    <col min="130" max="130" width="15.5703125" style="240" bestFit="1" customWidth="1"/>
    <col min="131" max="131" width="15.28515625" style="240" bestFit="1" customWidth="1"/>
    <col min="132" max="132" width="15.85546875" style="240" bestFit="1" customWidth="1"/>
    <col min="133" max="133" width="20" style="240" bestFit="1" customWidth="1"/>
    <col min="134" max="134" width="19.7109375" style="240" bestFit="1" customWidth="1"/>
    <col min="135" max="135" width="20.28515625" style="240" bestFit="1" customWidth="1"/>
    <col min="136" max="136" width="16.5703125" style="240" bestFit="1" customWidth="1"/>
    <col min="137" max="137" width="16.28515625" style="240" bestFit="1" customWidth="1"/>
    <col min="138" max="139" width="16.85546875" style="240" bestFit="1" customWidth="1"/>
    <col min="140" max="140" width="16.5703125" style="240" bestFit="1" customWidth="1"/>
    <col min="141" max="141" width="17.140625" style="240" bestFit="1" customWidth="1"/>
    <col min="142" max="142" width="16.28515625" style="240" bestFit="1" customWidth="1"/>
    <col min="143" max="143" width="15.85546875" style="240" bestFit="1" customWidth="1"/>
    <col min="144" max="144" width="16.5703125" style="240" bestFit="1" customWidth="1"/>
    <col min="145" max="145" width="20" style="240" bestFit="1" customWidth="1"/>
    <col min="146" max="146" width="19.7109375" style="241" bestFit="1" customWidth="1"/>
    <col min="147" max="147" width="20.28515625" style="240" bestFit="1" customWidth="1"/>
    <col min="148" max="148" width="61.85546875" customWidth="1"/>
    <col min="149" max="149" width="19" style="45" bestFit="1" customWidth="1"/>
    <col min="150" max="151" width="21.28515625" style="45" customWidth="1"/>
    <col min="152" max="152" width="24.42578125" customWidth="1"/>
    <col min="153" max="153" width="57.140625" customWidth="1"/>
    <col min="154" max="154" width="20.42578125" customWidth="1"/>
    <col min="155" max="155" width="57.140625" customWidth="1"/>
    <col min="156" max="156" width="22.5703125" style="45" bestFit="1" customWidth="1"/>
    <col min="157" max="157" width="23.140625" style="45" bestFit="1" customWidth="1"/>
    <col min="158" max="158" width="17.85546875" style="45" bestFit="1" customWidth="1"/>
    <col min="159" max="159" width="26.140625" style="45" bestFit="1" customWidth="1"/>
    <col min="160" max="161" width="27.28515625" style="45" bestFit="1" customWidth="1"/>
    <col min="162" max="164" width="26.140625" style="45" bestFit="1" customWidth="1"/>
    <col min="165" max="167" width="27.28515625" style="45" bestFit="1" customWidth="1"/>
    <col min="168" max="168" width="26.85546875" style="45" bestFit="1" customWidth="1"/>
    <col min="169" max="169" width="27.85546875" style="45" bestFit="1" customWidth="1"/>
    <col min="170" max="176" width="28.85546875" style="45" bestFit="1" customWidth="1"/>
    <col min="177" max="178" width="21.5703125" style="45" bestFit="1" customWidth="1"/>
    <col min="179" max="179" width="19.85546875" style="45" bestFit="1" customWidth="1"/>
    <col min="180" max="180" width="21.5703125" style="45" bestFit="1" customWidth="1"/>
    <col min="181" max="183" width="22.5703125" style="45" bestFit="1" customWidth="1"/>
    <col min="184" max="187" width="20.85546875" style="45" bestFit="1" customWidth="1"/>
    <col min="188" max="188" width="22" style="45" bestFit="1" customWidth="1"/>
    <col min="189" max="189" width="19.7109375" style="240" bestFit="1" customWidth="1"/>
    <col min="190" max="190" width="19.42578125" style="240" bestFit="1" customWidth="1"/>
    <col min="191" max="191" width="20" style="240" bestFit="1" customWidth="1"/>
    <col min="192" max="192" width="20.85546875" style="240" bestFit="1" customWidth="1"/>
    <col min="193" max="193" width="20.5703125" style="240" customWidth="1"/>
    <col min="194" max="194" width="21.28515625" style="240" bestFit="1" customWidth="1"/>
    <col min="195" max="195" width="19" style="240" bestFit="1" customWidth="1"/>
    <col min="196" max="196" width="18.7109375" style="240" bestFit="1" customWidth="1"/>
    <col min="197" max="197" width="19.28515625" style="240" bestFit="1" customWidth="1"/>
    <col min="198" max="198" width="18.140625" style="240" bestFit="1" customWidth="1"/>
    <col min="199" max="199" width="17.85546875" style="240" bestFit="1" customWidth="1"/>
    <col min="200" max="200" width="18.42578125" style="240" bestFit="1" customWidth="1"/>
    <col min="201" max="201" width="22.5703125" style="240" bestFit="1" customWidth="1"/>
    <col min="202" max="202" width="22.28515625" style="240" bestFit="1" customWidth="1"/>
    <col min="203" max="203" width="22.85546875" style="240" bestFit="1" customWidth="1"/>
    <col min="204" max="204" width="19" style="240" bestFit="1" customWidth="1"/>
    <col min="205" max="205" width="18.7109375" style="240" bestFit="1" customWidth="1"/>
    <col min="206" max="207" width="19.28515625" style="240" bestFit="1" customWidth="1"/>
    <col min="208" max="208" width="19" style="240" bestFit="1" customWidth="1"/>
    <col min="209" max="209" width="19.5703125" style="240" bestFit="1" customWidth="1"/>
    <col min="210" max="210" width="18.7109375" style="240" bestFit="1" customWidth="1"/>
    <col min="211" max="211" width="18.42578125" style="240" bestFit="1" customWidth="1"/>
    <col min="212" max="212" width="19" style="240" bestFit="1" customWidth="1"/>
    <col min="213" max="213" width="22.5703125" style="240" bestFit="1" customWidth="1"/>
    <col min="214" max="214" width="22.28515625" style="240" bestFit="1" customWidth="1"/>
    <col min="215" max="215" width="22.85546875" style="240" bestFit="1" customWidth="1"/>
    <col min="216" max="216" width="76.140625" style="240" customWidth="1"/>
    <col min="217" max="217" width="21.5703125" style="240" bestFit="1" customWidth="1"/>
    <col min="218" max="218" width="19.85546875" style="45" bestFit="1" customWidth="1"/>
    <col min="219" max="219" width="18.28515625" style="45" bestFit="1" customWidth="1"/>
    <col min="220" max="221" width="25.5703125" style="45" customWidth="1"/>
    <col min="222" max="222" width="23" customWidth="1"/>
  </cols>
  <sheetData>
    <row r="1" spans="1:222" s="260" customFormat="1" x14ac:dyDescent="0.25">
      <c r="A1" s="261" t="s">
        <v>301</v>
      </c>
      <c r="B1" s="261" t="s">
        <v>300</v>
      </c>
      <c r="C1" s="261" t="s">
        <v>299</v>
      </c>
      <c r="D1" s="261" t="s">
        <v>298</v>
      </c>
      <c r="E1" s="261" t="s">
        <v>297</v>
      </c>
      <c r="F1" s="322" t="s">
        <v>296</v>
      </c>
      <c r="G1" s="322" t="s">
        <v>295</v>
      </c>
      <c r="H1" s="261" t="s">
        <v>294</v>
      </c>
      <c r="I1" s="261" t="s">
        <v>293</v>
      </c>
      <c r="J1" s="261" t="s">
        <v>292</v>
      </c>
      <c r="K1" s="261" t="s">
        <v>291</v>
      </c>
      <c r="L1" s="261" t="s">
        <v>290</v>
      </c>
      <c r="M1" s="398" t="s">
        <v>289</v>
      </c>
      <c r="N1" s="261" t="s">
        <v>288</v>
      </c>
      <c r="O1" s="261" t="s">
        <v>287</v>
      </c>
      <c r="P1" s="261" t="s">
        <v>286</v>
      </c>
      <c r="Q1" s="398" t="s">
        <v>285</v>
      </c>
      <c r="R1" s="261" t="s">
        <v>284</v>
      </c>
      <c r="S1" s="261" t="s">
        <v>283</v>
      </c>
      <c r="T1" s="261" t="s">
        <v>282</v>
      </c>
      <c r="U1" s="261" t="s">
        <v>281</v>
      </c>
      <c r="V1" s="261" t="s">
        <v>280</v>
      </c>
      <c r="W1" s="261" t="s">
        <v>279</v>
      </c>
      <c r="X1" s="261" t="s">
        <v>278</v>
      </c>
      <c r="Y1" s="261" t="s">
        <v>277</v>
      </c>
      <c r="Z1" s="261" t="s">
        <v>276</v>
      </c>
      <c r="AA1" s="261" t="s">
        <v>275</v>
      </c>
      <c r="AB1" s="261" t="s">
        <v>274</v>
      </c>
      <c r="AC1" s="261" t="s">
        <v>273</v>
      </c>
      <c r="AD1" s="261" t="s">
        <v>272</v>
      </c>
      <c r="AE1" s="261" t="s">
        <v>271</v>
      </c>
      <c r="AF1" s="261" t="s">
        <v>270</v>
      </c>
      <c r="AG1" s="261" t="s">
        <v>269</v>
      </c>
      <c r="AH1" s="260" t="s">
        <v>268</v>
      </c>
      <c r="AI1" s="260" t="s">
        <v>267</v>
      </c>
      <c r="AJ1" s="260" t="s">
        <v>266</v>
      </c>
      <c r="AK1" s="260" t="s">
        <v>265</v>
      </c>
      <c r="AL1" s="261" t="s">
        <v>264</v>
      </c>
      <c r="AM1" s="261" t="s">
        <v>263</v>
      </c>
      <c r="AN1" s="261" t="s">
        <v>262</v>
      </c>
      <c r="AO1" s="261" t="s">
        <v>261</v>
      </c>
      <c r="AP1" s="260" t="s">
        <v>260</v>
      </c>
      <c r="AQ1" s="264" t="s">
        <v>259</v>
      </c>
      <c r="AR1" s="261" t="s">
        <v>258</v>
      </c>
      <c r="AS1" s="261" t="s">
        <v>257</v>
      </c>
      <c r="AT1" s="261" t="s">
        <v>256</v>
      </c>
      <c r="AU1" s="260" t="s">
        <v>255</v>
      </c>
      <c r="AV1" s="264" t="s">
        <v>254</v>
      </c>
      <c r="AW1" s="261" t="s">
        <v>253</v>
      </c>
      <c r="AX1" s="260" t="s">
        <v>252</v>
      </c>
      <c r="AY1" s="261" t="s">
        <v>251</v>
      </c>
      <c r="AZ1" s="261" t="s">
        <v>250</v>
      </c>
      <c r="BA1" s="261" t="s">
        <v>249</v>
      </c>
      <c r="BB1" s="260" t="s">
        <v>248</v>
      </c>
      <c r="BC1" s="260" t="s">
        <v>247</v>
      </c>
      <c r="BD1" s="260" t="s">
        <v>246</v>
      </c>
      <c r="BE1" s="263" t="s">
        <v>245</v>
      </c>
      <c r="BF1" s="263" t="s">
        <v>244</v>
      </c>
      <c r="BG1" s="263" t="s">
        <v>243</v>
      </c>
      <c r="BH1" s="260" t="s">
        <v>242</v>
      </c>
      <c r="BI1" s="263" t="s">
        <v>241</v>
      </c>
      <c r="BJ1" s="260" t="s">
        <v>240</v>
      </c>
      <c r="BK1" s="260" t="s">
        <v>239</v>
      </c>
      <c r="BL1" s="260" t="s">
        <v>238</v>
      </c>
      <c r="BM1" s="260" t="s">
        <v>237</v>
      </c>
      <c r="BN1" s="260" t="s">
        <v>236</v>
      </c>
      <c r="BO1" s="260" t="s">
        <v>235</v>
      </c>
      <c r="BP1" s="261" t="s">
        <v>234</v>
      </c>
      <c r="BQ1" s="261" t="s">
        <v>233</v>
      </c>
      <c r="BR1" s="261" t="s">
        <v>232</v>
      </c>
      <c r="BS1" s="261" t="s">
        <v>231</v>
      </c>
      <c r="BT1" s="261" t="s">
        <v>230</v>
      </c>
      <c r="BU1" s="261" t="s">
        <v>229</v>
      </c>
      <c r="BV1" s="261" t="s">
        <v>228</v>
      </c>
      <c r="BW1" s="261" t="s">
        <v>227</v>
      </c>
      <c r="BX1" s="261" t="s">
        <v>226</v>
      </c>
      <c r="BY1" s="261" t="s">
        <v>225</v>
      </c>
      <c r="BZ1" s="261" t="s">
        <v>224</v>
      </c>
      <c r="CA1" s="261" t="s">
        <v>223</v>
      </c>
      <c r="CB1" s="261" t="s">
        <v>222</v>
      </c>
      <c r="CC1" s="261" t="s">
        <v>221</v>
      </c>
      <c r="CD1" s="261" t="s">
        <v>220</v>
      </c>
      <c r="CE1" s="261" t="s">
        <v>219</v>
      </c>
      <c r="CF1" s="260" t="s">
        <v>218</v>
      </c>
      <c r="CG1" s="260" t="s">
        <v>217</v>
      </c>
      <c r="CH1" s="261" t="s">
        <v>216</v>
      </c>
      <c r="CI1" s="260" t="s">
        <v>215</v>
      </c>
      <c r="CJ1" s="261" t="s">
        <v>214</v>
      </c>
      <c r="CK1" s="261" t="s">
        <v>213</v>
      </c>
      <c r="CL1" s="261" t="s">
        <v>212</v>
      </c>
      <c r="CM1" s="261" t="s">
        <v>211</v>
      </c>
      <c r="CN1" s="261" t="s">
        <v>210</v>
      </c>
      <c r="CO1" s="261" t="s">
        <v>209</v>
      </c>
      <c r="CP1" s="261" t="s">
        <v>208</v>
      </c>
      <c r="CQ1" s="261" t="s">
        <v>207</v>
      </c>
      <c r="CR1" s="261" t="s">
        <v>206</v>
      </c>
      <c r="CS1" s="261" t="s">
        <v>205</v>
      </c>
      <c r="CT1" s="261" t="s">
        <v>204</v>
      </c>
      <c r="CU1" s="261" t="s">
        <v>203</v>
      </c>
      <c r="CV1" s="261" t="s">
        <v>202</v>
      </c>
      <c r="CW1" s="261" t="s">
        <v>201</v>
      </c>
      <c r="CX1" s="261" t="s">
        <v>200</v>
      </c>
      <c r="CY1" s="261" t="s">
        <v>199</v>
      </c>
      <c r="CZ1" s="261" t="s">
        <v>198</v>
      </c>
      <c r="DA1" s="261" t="s">
        <v>197</v>
      </c>
      <c r="DB1" s="261" t="s">
        <v>196</v>
      </c>
      <c r="DC1" s="261" t="s">
        <v>195</v>
      </c>
      <c r="DD1" s="261" t="s">
        <v>194</v>
      </c>
      <c r="DE1" s="261" t="s">
        <v>193</v>
      </c>
      <c r="DF1" s="261" t="s">
        <v>192</v>
      </c>
      <c r="DG1" s="261" t="s">
        <v>191</v>
      </c>
      <c r="DH1" s="261" t="s">
        <v>190</v>
      </c>
      <c r="DI1" s="261" t="s">
        <v>189</v>
      </c>
      <c r="DJ1" s="261" t="s">
        <v>188</v>
      </c>
      <c r="DK1" s="261" t="s">
        <v>187</v>
      </c>
      <c r="DL1" s="261" t="s">
        <v>186</v>
      </c>
      <c r="DM1" s="261" t="s">
        <v>185</v>
      </c>
      <c r="DN1" s="261" t="s">
        <v>184</v>
      </c>
      <c r="DO1" s="261" t="s">
        <v>183</v>
      </c>
      <c r="DP1" s="261" t="s">
        <v>182</v>
      </c>
      <c r="DQ1" s="262" t="s">
        <v>181</v>
      </c>
      <c r="DR1" s="262" t="s">
        <v>180</v>
      </c>
      <c r="DS1" s="262" t="s">
        <v>179</v>
      </c>
      <c r="DT1" s="262" t="s">
        <v>178</v>
      </c>
      <c r="DU1" s="262" t="s">
        <v>177</v>
      </c>
      <c r="DV1" s="262" t="s">
        <v>176</v>
      </c>
      <c r="DW1" s="262" t="s">
        <v>175</v>
      </c>
      <c r="DX1" s="262" t="s">
        <v>174</v>
      </c>
      <c r="DY1" s="262" t="s">
        <v>173</v>
      </c>
      <c r="DZ1" s="262" t="s">
        <v>172</v>
      </c>
      <c r="EA1" s="262" t="s">
        <v>171</v>
      </c>
      <c r="EB1" s="262" t="s">
        <v>170</v>
      </c>
      <c r="EC1" s="262" t="s">
        <v>169</v>
      </c>
      <c r="ED1" s="262" t="s">
        <v>168</v>
      </c>
      <c r="EE1" s="262" t="s">
        <v>167</v>
      </c>
      <c r="EF1" s="262" t="s">
        <v>166</v>
      </c>
      <c r="EG1" s="262" t="s">
        <v>165</v>
      </c>
      <c r="EH1" s="262" t="s">
        <v>164</v>
      </c>
      <c r="EI1" s="262" t="s">
        <v>163</v>
      </c>
      <c r="EJ1" s="262" t="s">
        <v>162</v>
      </c>
      <c r="EK1" s="262" t="s">
        <v>161</v>
      </c>
      <c r="EL1" s="262" t="s">
        <v>160</v>
      </c>
      <c r="EM1" s="262" t="s">
        <v>159</v>
      </c>
      <c r="EN1" s="262" t="s">
        <v>158</v>
      </c>
      <c r="EO1" s="262" t="s">
        <v>157</v>
      </c>
      <c r="EP1" s="262" t="s">
        <v>156</v>
      </c>
      <c r="EQ1" s="262" t="s">
        <v>155</v>
      </c>
      <c r="ER1" s="260" t="s">
        <v>154</v>
      </c>
      <c r="ES1" s="261" t="s">
        <v>153</v>
      </c>
      <c r="ET1" s="261" t="s">
        <v>152</v>
      </c>
      <c r="EU1" s="261" t="s">
        <v>151</v>
      </c>
      <c r="EV1" s="260" t="s">
        <v>150</v>
      </c>
      <c r="EW1" s="260" t="s">
        <v>149</v>
      </c>
      <c r="EX1" s="260" t="s">
        <v>148</v>
      </c>
      <c r="EY1" s="260" t="s">
        <v>147</v>
      </c>
      <c r="EZ1" s="261" t="s">
        <v>146</v>
      </c>
      <c r="FA1" s="261" t="s">
        <v>145</v>
      </c>
      <c r="FB1" s="261" t="s">
        <v>144</v>
      </c>
      <c r="FC1" s="261" t="s">
        <v>143</v>
      </c>
      <c r="FD1" s="261" t="s">
        <v>142</v>
      </c>
      <c r="FE1" s="261" t="s">
        <v>141</v>
      </c>
      <c r="FF1" s="261" t="s">
        <v>140</v>
      </c>
      <c r="FG1" s="261" t="s">
        <v>139</v>
      </c>
      <c r="FH1" s="261" t="s">
        <v>138</v>
      </c>
      <c r="FI1" s="261" t="s">
        <v>137</v>
      </c>
      <c r="FJ1" s="261" t="s">
        <v>136</v>
      </c>
      <c r="FK1" s="261" t="s">
        <v>135</v>
      </c>
      <c r="FL1" s="261" t="s">
        <v>134</v>
      </c>
      <c r="FM1" s="261" t="s">
        <v>133</v>
      </c>
      <c r="FN1" s="261" t="s">
        <v>132</v>
      </c>
      <c r="FO1" s="261" t="s">
        <v>131</v>
      </c>
      <c r="FP1" s="261" t="s">
        <v>130</v>
      </c>
      <c r="FQ1" s="261" t="s">
        <v>129</v>
      </c>
      <c r="FR1" s="261" t="s">
        <v>128</v>
      </c>
      <c r="FS1" s="261" t="s">
        <v>127</v>
      </c>
      <c r="FT1" s="261" t="s">
        <v>126</v>
      </c>
      <c r="FU1" s="261" t="s">
        <v>125</v>
      </c>
      <c r="FV1" s="261" t="s">
        <v>124</v>
      </c>
      <c r="FW1" s="261" t="s">
        <v>123</v>
      </c>
      <c r="FX1" s="261" t="s">
        <v>122</v>
      </c>
      <c r="FY1" s="261" t="s">
        <v>121</v>
      </c>
      <c r="FZ1" s="261" t="s">
        <v>120</v>
      </c>
      <c r="GA1" s="261" t="s">
        <v>119</v>
      </c>
      <c r="GB1" s="261" t="s">
        <v>118</v>
      </c>
      <c r="GC1" s="261" t="s">
        <v>117</v>
      </c>
      <c r="GD1" s="261" t="s">
        <v>116</v>
      </c>
      <c r="GE1" s="261" t="s">
        <v>115</v>
      </c>
      <c r="GF1" s="261" t="s">
        <v>114</v>
      </c>
      <c r="GG1" s="262" t="s">
        <v>113</v>
      </c>
      <c r="GH1" s="262" t="s">
        <v>112</v>
      </c>
      <c r="GI1" s="262" t="s">
        <v>111</v>
      </c>
      <c r="GJ1" s="262" t="s">
        <v>110</v>
      </c>
      <c r="GK1" s="262" t="s">
        <v>109</v>
      </c>
      <c r="GL1" s="262" t="s">
        <v>108</v>
      </c>
      <c r="GM1" s="262" t="s">
        <v>107</v>
      </c>
      <c r="GN1" s="262" t="s">
        <v>106</v>
      </c>
      <c r="GO1" s="262" t="s">
        <v>105</v>
      </c>
      <c r="GP1" s="262" t="s">
        <v>104</v>
      </c>
      <c r="GQ1" s="262" t="s">
        <v>103</v>
      </c>
      <c r="GR1" s="262" t="s">
        <v>102</v>
      </c>
      <c r="GS1" s="262" t="s">
        <v>101</v>
      </c>
      <c r="GT1" s="262" t="s">
        <v>100</v>
      </c>
      <c r="GU1" s="262" t="s">
        <v>99</v>
      </c>
      <c r="GV1" s="262" t="s">
        <v>98</v>
      </c>
      <c r="GW1" s="262" t="s">
        <v>97</v>
      </c>
      <c r="GX1" s="262" t="s">
        <v>96</v>
      </c>
      <c r="GY1" s="262" t="s">
        <v>95</v>
      </c>
      <c r="GZ1" s="262" t="s">
        <v>94</v>
      </c>
      <c r="HA1" s="262" t="s">
        <v>93</v>
      </c>
      <c r="HB1" s="262" t="s">
        <v>92</v>
      </c>
      <c r="HC1" s="262" t="s">
        <v>91</v>
      </c>
      <c r="HD1" s="262" t="s">
        <v>90</v>
      </c>
      <c r="HE1" s="262" t="s">
        <v>89</v>
      </c>
      <c r="HF1" s="262" t="s">
        <v>88</v>
      </c>
      <c r="HG1" s="262" t="s">
        <v>87</v>
      </c>
      <c r="HH1" s="262" t="s">
        <v>86</v>
      </c>
      <c r="HI1" s="262" t="s">
        <v>85</v>
      </c>
      <c r="HJ1" s="261" t="s">
        <v>84</v>
      </c>
      <c r="HK1" s="261" t="s">
        <v>83</v>
      </c>
      <c r="HL1" s="261" t="s">
        <v>82</v>
      </c>
      <c r="HM1" s="261" t="s">
        <v>81</v>
      </c>
      <c r="HN1" s="261"/>
    </row>
    <row r="2" spans="1:222" s="249" customFormat="1" x14ac:dyDescent="0.25">
      <c r="A2" s="248"/>
      <c r="B2" s="248"/>
      <c r="C2" s="248"/>
      <c r="D2" s="248"/>
      <c r="E2" s="248"/>
      <c r="F2" s="254"/>
      <c r="G2" s="254"/>
      <c r="H2" s="248"/>
      <c r="I2" s="248"/>
      <c r="J2" s="259"/>
      <c r="K2" s="259"/>
      <c r="L2" s="248"/>
      <c r="M2" s="399"/>
      <c r="N2" s="248"/>
      <c r="O2" s="248"/>
      <c r="P2" s="248"/>
      <c r="Q2" s="399"/>
      <c r="R2" s="248"/>
      <c r="S2" s="248"/>
      <c r="T2" s="248"/>
      <c r="U2" s="248"/>
      <c r="V2" s="248"/>
      <c r="W2" s="248"/>
      <c r="X2" s="248"/>
      <c r="Y2" s="248"/>
      <c r="Z2" s="248"/>
      <c r="AA2" s="248"/>
      <c r="AB2" s="248"/>
      <c r="AC2" s="248"/>
      <c r="AD2" s="248"/>
      <c r="AE2" s="248"/>
      <c r="AF2" s="248"/>
      <c r="AG2" s="248"/>
      <c r="AL2" s="248"/>
      <c r="AM2" s="248"/>
      <c r="AN2" s="248"/>
      <c r="AO2" s="248"/>
      <c r="AQ2" s="252"/>
      <c r="AR2" s="254"/>
      <c r="AS2" s="254"/>
      <c r="AT2" s="254"/>
      <c r="AV2" s="252"/>
      <c r="AW2" s="254"/>
      <c r="AX2" s="254"/>
      <c r="AY2" s="254"/>
      <c r="AZ2" s="254"/>
      <c r="BA2" s="248"/>
      <c r="BB2" s="250"/>
      <c r="BC2" s="259"/>
      <c r="BD2" s="259"/>
      <c r="BE2" s="248"/>
      <c r="BF2" s="248"/>
      <c r="BG2" s="248"/>
      <c r="BH2" s="252"/>
      <c r="BI2" s="248"/>
      <c r="BJ2" s="248"/>
      <c r="BK2" s="248"/>
      <c r="BL2" s="248"/>
      <c r="BM2" s="248"/>
      <c r="BN2" s="248"/>
      <c r="BP2" s="248"/>
      <c r="BQ2" s="248"/>
      <c r="BR2" s="248"/>
      <c r="BS2" s="248"/>
      <c r="BT2" s="250"/>
      <c r="BU2" s="250"/>
      <c r="BV2" s="250"/>
      <c r="BW2" s="250"/>
      <c r="BX2" s="248"/>
      <c r="BY2" s="248"/>
      <c r="BZ2" s="248"/>
      <c r="CA2" s="248"/>
      <c r="CB2" s="254"/>
      <c r="CC2" s="254"/>
      <c r="CD2" s="254"/>
      <c r="CE2" s="254"/>
      <c r="CF2" s="258"/>
      <c r="CG2" s="258"/>
      <c r="CH2" s="256"/>
      <c r="CI2" s="257"/>
      <c r="CJ2" s="256"/>
      <c r="CK2" s="255"/>
      <c r="CL2" s="248"/>
      <c r="CM2" s="248"/>
      <c r="CN2" s="248"/>
      <c r="CO2" s="248"/>
      <c r="CP2" s="248"/>
      <c r="CQ2" s="254"/>
      <c r="CR2" s="254"/>
      <c r="CS2" s="248"/>
      <c r="CT2" s="254"/>
      <c r="CU2" s="254"/>
      <c r="CV2" s="248"/>
      <c r="CW2" s="248"/>
      <c r="CX2" s="253"/>
      <c r="CY2" s="248"/>
      <c r="CZ2" s="248"/>
      <c r="DA2" s="248"/>
      <c r="DB2" s="248"/>
      <c r="DC2" s="248"/>
      <c r="DD2" s="248"/>
      <c r="DE2" s="248"/>
      <c r="DF2" s="248"/>
      <c r="DG2" s="248"/>
      <c r="DH2" s="248"/>
      <c r="DI2" s="248"/>
      <c r="DJ2" s="248"/>
      <c r="DK2" s="248"/>
      <c r="DL2" s="248"/>
      <c r="DM2" s="248"/>
      <c r="DN2" s="248"/>
      <c r="DO2" s="248"/>
      <c r="DP2" s="248"/>
      <c r="DQ2" s="250"/>
      <c r="DR2" s="250"/>
      <c r="DS2" s="250"/>
      <c r="DT2" s="250"/>
      <c r="DU2" s="250"/>
      <c r="DV2" s="250"/>
      <c r="DW2" s="250"/>
      <c r="DX2" s="250"/>
      <c r="DY2" s="250"/>
      <c r="DZ2" s="250"/>
      <c r="EA2" s="250"/>
      <c r="EB2" s="250"/>
      <c r="EC2" s="250"/>
      <c r="ED2" s="250"/>
      <c r="EE2" s="250"/>
      <c r="EF2" s="250"/>
      <c r="EG2" s="250"/>
      <c r="EH2" s="250"/>
      <c r="EI2" s="250"/>
      <c r="EJ2" s="250"/>
      <c r="EK2" s="250"/>
      <c r="EL2" s="250"/>
      <c r="EM2" s="250"/>
      <c r="EN2" s="250"/>
      <c r="EO2" s="250"/>
      <c r="EP2" s="251"/>
      <c r="EQ2" s="250"/>
      <c r="ER2" s="252"/>
      <c r="ES2" s="248"/>
      <c r="ET2" s="248"/>
      <c r="EU2" s="248"/>
      <c r="EW2" s="252"/>
      <c r="EY2" s="252"/>
      <c r="EZ2" s="248"/>
      <c r="FA2" s="248"/>
      <c r="FB2" s="248"/>
      <c r="FC2" s="248"/>
      <c r="FD2" s="248"/>
      <c r="FE2" s="248"/>
      <c r="FF2" s="248"/>
      <c r="FG2" s="248"/>
      <c r="FH2" s="248"/>
      <c r="FI2" s="248"/>
      <c r="FJ2" s="248"/>
      <c r="FK2" s="248"/>
      <c r="FL2" s="248"/>
      <c r="FM2" s="248"/>
      <c r="FN2" s="248"/>
      <c r="FO2" s="248"/>
      <c r="FP2" s="248"/>
      <c r="FQ2" s="248"/>
      <c r="FR2" s="248"/>
      <c r="FS2" s="248"/>
      <c r="FT2" s="248"/>
      <c r="FU2" s="248"/>
      <c r="FV2" s="248"/>
      <c r="FW2" s="248"/>
      <c r="FX2" s="248"/>
      <c r="FY2" s="248"/>
      <c r="FZ2" s="248"/>
      <c r="GA2" s="248"/>
      <c r="GB2" s="248"/>
      <c r="GC2" s="248"/>
      <c r="GD2" s="248"/>
      <c r="GE2" s="248"/>
      <c r="GF2" s="248"/>
      <c r="GG2" s="250"/>
      <c r="GH2" s="250"/>
      <c r="GI2" s="250"/>
      <c r="GJ2" s="250"/>
      <c r="GK2" s="250"/>
      <c r="GL2" s="250"/>
      <c r="GM2" s="250"/>
      <c r="GN2" s="250"/>
      <c r="GO2" s="250"/>
      <c r="GP2" s="250"/>
      <c r="GQ2" s="250"/>
      <c r="GR2" s="250"/>
      <c r="GS2" s="250"/>
      <c r="GT2" s="250"/>
      <c r="GU2" s="250"/>
      <c r="GV2" s="250"/>
      <c r="GW2" s="250"/>
      <c r="GX2" s="250"/>
      <c r="GY2" s="250"/>
      <c r="GZ2" s="250"/>
      <c r="HA2" s="250"/>
      <c r="HB2" s="250"/>
      <c r="HC2" s="250"/>
      <c r="HD2" s="250"/>
      <c r="HE2" s="250"/>
      <c r="HF2" s="250"/>
      <c r="HG2" s="250"/>
      <c r="HH2" s="251"/>
      <c r="HI2" s="250"/>
      <c r="HJ2" s="248"/>
      <c r="HK2" s="248"/>
      <c r="HL2" s="248"/>
      <c r="HM2" s="248"/>
      <c r="HN2" s="250"/>
    </row>
  </sheetData>
  <autoFilter ref="A1:HN2" xr:uid="{00000000-0009-0000-0000-000005000000}"/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N2"/>
  <sheetViews>
    <sheetView zoomScaleNormal="100" workbookViewId="0"/>
  </sheetViews>
  <sheetFormatPr baseColWidth="10" defaultColWidth="11.42578125" defaultRowHeight="15" x14ac:dyDescent="0.25"/>
  <cols>
    <col min="1" max="1" width="29.42578125" style="45" customWidth="1"/>
    <col min="2" max="3" width="46.5703125" style="45" customWidth="1"/>
    <col min="4" max="5" width="10.7109375" style="45" customWidth="1"/>
    <col min="6" max="7" width="14.85546875" style="45" customWidth="1"/>
    <col min="8" max="8" width="22.28515625" style="45" bestFit="1" customWidth="1"/>
    <col min="9" max="9" width="12.7109375" style="45" bestFit="1" customWidth="1"/>
    <col min="10" max="10" width="27.140625" style="45" bestFit="1" customWidth="1"/>
    <col min="11" max="11" width="22.140625" style="45" bestFit="1" customWidth="1"/>
    <col min="12" max="12" width="32" style="45" customWidth="1"/>
    <col min="13" max="13" width="20.28515625" style="45" customWidth="1"/>
    <col min="14" max="14" width="11.42578125" style="45" customWidth="1"/>
    <col min="15" max="15" width="22.7109375" style="45" customWidth="1"/>
    <col min="16" max="16" width="32" style="45" customWidth="1"/>
    <col min="17" max="17" width="20.28515625" style="45" customWidth="1"/>
    <col min="18" max="18" width="11.42578125" style="45" customWidth="1"/>
    <col min="19" max="19" width="22.7109375" style="45" customWidth="1"/>
    <col min="20" max="20" width="17.140625" style="45" customWidth="1"/>
    <col min="21" max="21" width="15.140625" style="45" customWidth="1"/>
    <col min="22" max="22" width="15.7109375" style="45" customWidth="1"/>
    <col min="23" max="23" width="18.140625" style="45" customWidth="1"/>
    <col min="24" max="27" width="17.140625" style="45" customWidth="1"/>
    <col min="28" max="32" width="11.5703125" style="45" customWidth="1"/>
    <col min="33" max="33" width="15.5703125" style="45" customWidth="1"/>
    <col min="34" max="34" width="21.28515625" customWidth="1"/>
    <col min="35" max="35" width="34.140625" customWidth="1"/>
    <col min="36" max="36" width="40" customWidth="1"/>
    <col min="37" max="37" width="38.7109375" customWidth="1"/>
    <col min="38" max="41" width="22.28515625" style="45" customWidth="1"/>
    <col min="42" max="42" width="26.5703125" customWidth="1"/>
    <col min="43" max="43" width="55.28515625" style="1" customWidth="1"/>
    <col min="44" max="44" width="26" style="243" customWidth="1"/>
    <col min="45" max="45" width="23.7109375" customWidth="1"/>
    <col min="46" max="46" width="24.140625" style="45" customWidth="1"/>
    <col min="47" max="47" width="26.5703125" customWidth="1"/>
    <col min="48" max="48" width="55.28515625" style="1" customWidth="1"/>
    <col min="49" max="49" width="26" style="45" customWidth="1"/>
    <col min="50" max="50" width="23.7109375" customWidth="1"/>
    <col min="51" max="51" width="24.140625" style="45" customWidth="1"/>
    <col min="52" max="52" width="13.5703125" style="243" customWidth="1"/>
    <col min="53" max="53" width="13.7109375" style="45" customWidth="1"/>
    <col min="54" max="54" width="16.7109375" customWidth="1"/>
    <col min="55" max="56" width="23.5703125" customWidth="1"/>
    <col min="57" max="59" width="25.7109375" style="248" customWidth="1"/>
    <col min="60" max="60" width="39.140625" customWidth="1"/>
    <col min="61" max="61" width="14.5703125" style="248" customWidth="1"/>
    <col min="62" max="63" width="15.28515625" customWidth="1"/>
    <col min="64" max="64" width="15.42578125" customWidth="1"/>
    <col min="65" max="65" width="14.5703125" customWidth="1"/>
    <col min="66" max="66" width="16.85546875" customWidth="1"/>
    <col min="67" max="67" width="14.85546875" customWidth="1"/>
    <col min="68" max="71" width="16.28515625" style="45" customWidth="1"/>
    <col min="72" max="74" width="12.28515625" style="240" customWidth="1"/>
    <col min="75" max="75" width="16.7109375" style="240" customWidth="1"/>
    <col min="76" max="77" width="15" style="45" customWidth="1"/>
    <col min="78" max="79" width="17.5703125" style="45" customWidth="1"/>
    <col min="80" max="80" width="16.7109375" style="243" customWidth="1"/>
    <col min="81" max="82" width="14.85546875" style="243" customWidth="1"/>
    <col min="83" max="83" width="13.42578125" style="243" customWidth="1"/>
    <col min="84" max="84" width="22" style="247" customWidth="1"/>
    <col min="85" max="85" width="47.28515625" style="247" customWidth="1"/>
    <col min="86" max="86" width="19.140625" style="245" customWidth="1"/>
    <col min="87" max="87" width="47.28515625" style="246" customWidth="1"/>
    <col min="88" max="88" width="24.42578125" style="245" customWidth="1"/>
    <col min="89" max="89" width="24.42578125" style="244" customWidth="1"/>
    <col min="90" max="90" width="24.42578125" style="45" customWidth="1"/>
    <col min="91" max="91" width="23.7109375" style="45" bestFit="1" customWidth="1"/>
    <col min="92" max="93" width="24.7109375" style="45" bestFit="1" customWidth="1"/>
    <col min="94" max="94" width="23.7109375" style="45" bestFit="1" customWidth="1"/>
    <col min="95" max="96" width="23.7109375" style="243" bestFit="1" customWidth="1"/>
    <col min="97" max="97" width="24.7109375" style="45" bestFit="1" customWidth="1"/>
    <col min="98" max="99" width="24.7109375" style="243" bestFit="1" customWidth="1"/>
    <col min="100" max="100" width="24.28515625" style="45" bestFit="1" customWidth="1"/>
    <col min="101" max="101" width="25.28515625" style="45" bestFit="1" customWidth="1"/>
    <col min="102" max="102" width="26.42578125" style="242" bestFit="1" customWidth="1"/>
    <col min="103" max="108" width="26.42578125" style="45" bestFit="1" customWidth="1"/>
    <col min="109" max="110" width="19" style="45" bestFit="1" customWidth="1"/>
    <col min="111" max="111" width="17.42578125" style="45" bestFit="1" customWidth="1"/>
    <col min="112" max="112" width="19" style="45" bestFit="1" customWidth="1"/>
    <col min="113" max="115" width="20" style="45" bestFit="1" customWidth="1"/>
    <col min="116" max="119" width="18.42578125" style="45" bestFit="1" customWidth="1"/>
    <col min="120" max="120" width="19.42578125" style="45" bestFit="1" customWidth="1"/>
    <col min="121" max="121" width="17.28515625" style="240" bestFit="1" customWidth="1"/>
    <col min="122" max="122" width="17" style="240" bestFit="1" customWidth="1"/>
    <col min="123" max="123" width="17.5703125" style="240" bestFit="1" customWidth="1"/>
    <col min="124" max="124" width="18.42578125" style="240" bestFit="1" customWidth="1"/>
    <col min="125" max="125" width="18.140625" style="240" bestFit="1" customWidth="1"/>
    <col min="126" max="126" width="18.7109375" style="240" bestFit="1" customWidth="1"/>
    <col min="127" max="127" width="16.5703125" style="240" bestFit="1" customWidth="1"/>
    <col min="128" max="128" width="16.28515625" style="240" bestFit="1" customWidth="1"/>
    <col min="129" max="129" width="16.85546875" style="240" bestFit="1" customWidth="1"/>
    <col min="130" max="130" width="15.5703125" style="240" bestFit="1" customWidth="1"/>
    <col min="131" max="131" width="15.28515625" style="240" bestFit="1" customWidth="1"/>
    <col min="132" max="132" width="15.85546875" style="240" bestFit="1" customWidth="1"/>
    <col min="133" max="133" width="20" style="240" bestFit="1" customWidth="1"/>
    <col min="134" max="134" width="19.7109375" style="240" bestFit="1" customWidth="1"/>
    <col min="135" max="135" width="20.28515625" style="240" bestFit="1" customWidth="1"/>
    <col min="136" max="136" width="16.5703125" style="240" bestFit="1" customWidth="1"/>
    <col min="137" max="137" width="16.28515625" style="240" bestFit="1" customWidth="1"/>
    <col min="138" max="139" width="16.85546875" style="240" bestFit="1" customWidth="1"/>
    <col min="140" max="140" width="16.5703125" style="240" bestFit="1" customWidth="1"/>
    <col min="141" max="141" width="17.140625" style="240" bestFit="1" customWidth="1"/>
    <col min="142" max="142" width="16.28515625" style="240" bestFit="1" customWidth="1"/>
    <col min="143" max="143" width="15.85546875" style="240" bestFit="1" customWidth="1"/>
    <col min="144" max="144" width="16.5703125" style="240" bestFit="1" customWidth="1"/>
    <col min="145" max="145" width="20" style="240" bestFit="1" customWidth="1"/>
    <col min="146" max="146" width="19.7109375" style="241" bestFit="1" customWidth="1"/>
    <col min="147" max="147" width="20.28515625" style="240" bestFit="1" customWidth="1"/>
    <col min="148" max="148" width="61.85546875" customWidth="1"/>
    <col min="149" max="149" width="19" style="45" bestFit="1" customWidth="1"/>
    <col min="150" max="151" width="21.28515625" style="45" customWidth="1"/>
    <col min="152" max="152" width="24.42578125" customWidth="1"/>
    <col min="153" max="153" width="57.140625" customWidth="1"/>
    <col min="154" max="154" width="20.42578125" customWidth="1"/>
    <col min="155" max="155" width="57.140625" customWidth="1"/>
    <col min="156" max="156" width="22.5703125" style="45" bestFit="1" customWidth="1"/>
    <col min="157" max="157" width="23.140625" style="45" bestFit="1" customWidth="1"/>
    <col min="158" max="158" width="17.85546875" style="45" bestFit="1" customWidth="1"/>
    <col min="159" max="159" width="26.140625" style="45" bestFit="1" customWidth="1"/>
    <col min="160" max="161" width="27.28515625" style="45" bestFit="1" customWidth="1"/>
    <col min="162" max="164" width="26.140625" style="45" bestFit="1" customWidth="1"/>
    <col min="165" max="167" width="27.28515625" style="45" bestFit="1" customWidth="1"/>
    <col min="168" max="168" width="26.85546875" style="45" bestFit="1" customWidth="1"/>
    <col min="169" max="169" width="27.85546875" style="45" bestFit="1" customWidth="1"/>
    <col min="170" max="176" width="28.85546875" style="45" bestFit="1" customWidth="1"/>
    <col min="177" max="178" width="21.5703125" style="45" bestFit="1" customWidth="1"/>
    <col min="179" max="179" width="19.85546875" style="45" bestFit="1" customWidth="1"/>
    <col min="180" max="180" width="21.5703125" style="45" bestFit="1" customWidth="1"/>
    <col min="181" max="183" width="22.5703125" style="45" bestFit="1" customWidth="1"/>
    <col min="184" max="187" width="20.85546875" style="45" bestFit="1" customWidth="1"/>
    <col min="188" max="188" width="22" style="45" bestFit="1" customWidth="1"/>
    <col min="189" max="189" width="19.7109375" style="240" bestFit="1" customWidth="1"/>
    <col min="190" max="190" width="19.42578125" style="240" bestFit="1" customWidth="1"/>
    <col min="191" max="191" width="20" style="240" bestFit="1" customWidth="1"/>
    <col min="192" max="192" width="20.85546875" style="240" bestFit="1" customWidth="1"/>
    <col min="193" max="193" width="20.5703125" style="240" customWidth="1"/>
    <col min="194" max="194" width="21.28515625" style="240" bestFit="1" customWidth="1"/>
    <col min="195" max="195" width="19" style="240" bestFit="1" customWidth="1"/>
    <col min="196" max="196" width="18.7109375" style="240" bestFit="1" customWidth="1"/>
    <col min="197" max="197" width="19.28515625" style="240" bestFit="1" customWidth="1"/>
    <col min="198" max="198" width="18.140625" style="240" bestFit="1" customWidth="1"/>
    <col min="199" max="199" width="17.85546875" style="240" bestFit="1" customWidth="1"/>
    <col min="200" max="200" width="18.42578125" style="240" bestFit="1" customWidth="1"/>
    <col min="201" max="201" width="22.5703125" style="240" bestFit="1" customWidth="1"/>
    <col min="202" max="202" width="22.28515625" style="240" bestFit="1" customWidth="1"/>
    <col min="203" max="203" width="22.85546875" style="240" bestFit="1" customWidth="1"/>
    <col min="204" max="204" width="19" style="240" bestFit="1" customWidth="1"/>
    <col min="205" max="205" width="18.7109375" style="240" bestFit="1" customWidth="1"/>
    <col min="206" max="207" width="19.28515625" style="240" bestFit="1" customWidth="1"/>
    <col min="208" max="208" width="19" style="240" bestFit="1" customWidth="1"/>
    <col min="209" max="209" width="19.5703125" style="240" bestFit="1" customWidth="1"/>
    <col min="210" max="210" width="18.7109375" style="240" bestFit="1" customWidth="1"/>
    <col min="211" max="211" width="18.42578125" style="240" bestFit="1" customWidth="1"/>
    <col min="212" max="212" width="19" style="240" bestFit="1" customWidth="1"/>
    <col min="213" max="213" width="22.5703125" style="240" bestFit="1" customWidth="1"/>
    <col min="214" max="214" width="22.28515625" style="240" bestFit="1" customWidth="1"/>
    <col min="215" max="215" width="22.85546875" style="240" bestFit="1" customWidth="1"/>
    <col min="216" max="216" width="76.140625" style="240" customWidth="1"/>
    <col min="217" max="217" width="21.5703125" style="240" bestFit="1" customWidth="1"/>
    <col min="218" max="218" width="19.85546875" style="45" bestFit="1" customWidth="1"/>
    <col min="219" max="219" width="18.28515625" style="45" bestFit="1" customWidth="1"/>
    <col min="220" max="221" width="25.5703125" style="45" customWidth="1"/>
    <col min="222" max="222" width="23" customWidth="1"/>
  </cols>
  <sheetData>
    <row r="1" spans="1:222" s="260" customFormat="1" x14ac:dyDescent="0.25">
      <c r="A1" s="261" t="s">
        <v>301</v>
      </c>
      <c r="B1" s="261" t="s">
        <v>300</v>
      </c>
      <c r="C1" s="261" t="s">
        <v>299</v>
      </c>
      <c r="D1" s="261" t="s">
        <v>298</v>
      </c>
      <c r="E1" s="261" t="s">
        <v>297</v>
      </c>
      <c r="F1" s="261" t="s">
        <v>296</v>
      </c>
      <c r="G1" s="261" t="s">
        <v>295</v>
      </c>
      <c r="H1" s="261" t="s">
        <v>294</v>
      </c>
      <c r="I1" s="261" t="s">
        <v>293</v>
      </c>
      <c r="J1" s="261" t="s">
        <v>292</v>
      </c>
      <c r="K1" s="261" t="s">
        <v>291</v>
      </c>
      <c r="L1" s="261" t="s">
        <v>290</v>
      </c>
      <c r="M1" s="261" t="s">
        <v>289</v>
      </c>
      <c r="N1" s="261" t="s">
        <v>288</v>
      </c>
      <c r="O1" s="261" t="s">
        <v>287</v>
      </c>
      <c r="P1" s="261" t="s">
        <v>286</v>
      </c>
      <c r="Q1" s="261" t="s">
        <v>285</v>
      </c>
      <c r="R1" s="261" t="s">
        <v>284</v>
      </c>
      <c r="S1" s="261" t="s">
        <v>283</v>
      </c>
      <c r="T1" s="261" t="s">
        <v>282</v>
      </c>
      <c r="U1" s="261" t="s">
        <v>281</v>
      </c>
      <c r="V1" s="261" t="s">
        <v>280</v>
      </c>
      <c r="W1" s="261" t="s">
        <v>279</v>
      </c>
      <c r="X1" s="261" t="s">
        <v>278</v>
      </c>
      <c r="Y1" s="261" t="s">
        <v>277</v>
      </c>
      <c r="Z1" s="261" t="s">
        <v>276</v>
      </c>
      <c r="AA1" s="261" t="s">
        <v>275</v>
      </c>
      <c r="AB1" s="261" t="s">
        <v>274</v>
      </c>
      <c r="AC1" s="261" t="s">
        <v>273</v>
      </c>
      <c r="AD1" s="261" t="s">
        <v>272</v>
      </c>
      <c r="AE1" s="261" t="s">
        <v>271</v>
      </c>
      <c r="AF1" s="261" t="s">
        <v>270</v>
      </c>
      <c r="AG1" s="261" t="s">
        <v>269</v>
      </c>
      <c r="AH1" s="260" t="s">
        <v>268</v>
      </c>
      <c r="AI1" s="260" t="s">
        <v>267</v>
      </c>
      <c r="AJ1" s="260" t="s">
        <v>266</v>
      </c>
      <c r="AK1" s="260" t="s">
        <v>265</v>
      </c>
      <c r="AL1" s="261" t="s">
        <v>264</v>
      </c>
      <c r="AM1" s="261" t="s">
        <v>263</v>
      </c>
      <c r="AN1" s="261" t="s">
        <v>262</v>
      </c>
      <c r="AO1" s="261" t="s">
        <v>261</v>
      </c>
      <c r="AP1" s="260" t="s">
        <v>260</v>
      </c>
      <c r="AQ1" s="264" t="s">
        <v>259</v>
      </c>
      <c r="AR1" s="261" t="s">
        <v>258</v>
      </c>
      <c r="AS1" s="261" t="s">
        <v>257</v>
      </c>
      <c r="AT1" s="261" t="s">
        <v>256</v>
      </c>
      <c r="AU1" s="260" t="s">
        <v>255</v>
      </c>
      <c r="AV1" s="264" t="s">
        <v>254</v>
      </c>
      <c r="AW1" s="261" t="s">
        <v>253</v>
      </c>
      <c r="AX1" s="260" t="s">
        <v>252</v>
      </c>
      <c r="AY1" s="261" t="s">
        <v>251</v>
      </c>
      <c r="AZ1" s="261" t="s">
        <v>250</v>
      </c>
      <c r="BA1" s="261" t="s">
        <v>249</v>
      </c>
      <c r="BB1" s="260" t="s">
        <v>248</v>
      </c>
      <c r="BC1" s="260" t="s">
        <v>247</v>
      </c>
      <c r="BD1" s="260" t="s">
        <v>246</v>
      </c>
      <c r="BE1" s="263" t="s">
        <v>245</v>
      </c>
      <c r="BF1" s="263" t="s">
        <v>244</v>
      </c>
      <c r="BG1" s="263" t="s">
        <v>243</v>
      </c>
      <c r="BH1" s="260" t="s">
        <v>242</v>
      </c>
      <c r="BI1" s="263" t="s">
        <v>241</v>
      </c>
      <c r="BJ1" s="260" t="s">
        <v>240</v>
      </c>
      <c r="BK1" s="260" t="s">
        <v>239</v>
      </c>
      <c r="BL1" s="260" t="s">
        <v>238</v>
      </c>
      <c r="BM1" s="260" t="s">
        <v>237</v>
      </c>
      <c r="BN1" s="260" t="s">
        <v>236</v>
      </c>
      <c r="BO1" s="260" t="s">
        <v>235</v>
      </c>
      <c r="BP1" s="261" t="s">
        <v>234</v>
      </c>
      <c r="BQ1" s="261" t="s">
        <v>233</v>
      </c>
      <c r="BR1" s="261" t="s">
        <v>232</v>
      </c>
      <c r="BS1" s="261" t="s">
        <v>231</v>
      </c>
      <c r="BT1" s="261" t="s">
        <v>230</v>
      </c>
      <c r="BU1" s="261" t="s">
        <v>229</v>
      </c>
      <c r="BV1" s="261" t="s">
        <v>228</v>
      </c>
      <c r="BW1" s="261" t="s">
        <v>227</v>
      </c>
      <c r="BX1" s="261" t="s">
        <v>226</v>
      </c>
      <c r="BY1" s="261" t="s">
        <v>225</v>
      </c>
      <c r="BZ1" s="261" t="s">
        <v>224</v>
      </c>
      <c r="CA1" s="261" t="s">
        <v>223</v>
      </c>
      <c r="CB1" s="261" t="s">
        <v>222</v>
      </c>
      <c r="CC1" s="261" t="s">
        <v>221</v>
      </c>
      <c r="CD1" s="261" t="s">
        <v>220</v>
      </c>
      <c r="CE1" s="261" t="s">
        <v>219</v>
      </c>
      <c r="CF1" s="260" t="s">
        <v>218</v>
      </c>
      <c r="CG1" s="260" t="s">
        <v>217</v>
      </c>
      <c r="CH1" s="261" t="s">
        <v>216</v>
      </c>
      <c r="CI1" s="260" t="s">
        <v>215</v>
      </c>
      <c r="CJ1" s="261" t="s">
        <v>214</v>
      </c>
      <c r="CK1" s="261" t="s">
        <v>213</v>
      </c>
      <c r="CL1" s="261" t="s">
        <v>212</v>
      </c>
      <c r="CM1" s="261" t="s">
        <v>211</v>
      </c>
      <c r="CN1" s="261" t="s">
        <v>210</v>
      </c>
      <c r="CO1" s="261" t="s">
        <v>209</v>
      </c>
      <c r="CP1" s="261" t="s">
        <v>208</v>
      </c>
      <c r="CQ1" s="261" t="s">
        <v>207</v>
      </c>
      <c r="CR1" s="261" t="s">
        <v>206</v>
      </c>
      <c r="CS1" s="261" t="s">
        <v>205</v>
      </c>
      <c r="CT1" s="261" t="s">
        <v>204</v>
      </c>
      <c r="CU1" s="261" t="s">
        <v>203</v>
      </c>
      <c r="CV1" s="261" t="s">
        <v>202</v>
      </c>
      <c r="CW1" s="261" t="s">
        <v>201</v>
      </c>
      <c r="CX1" s="261" t="s">
        <v>200</v>
      </c>
      <c r="CY1" s="261" t="s">
        <v>199</v>
      </c>
      <c r="CZ1" s="261" t="s">
        <v>198</v>
      </c>
      <c r="DA1" s="261" t="s">
        <v>197</v>
      </c>
      <c r="DB1" s="261" t="s">
        <v>196</v>
      </c>
      <c r="DC1" s="261" t="s">
        <v>195</v>
      </c>
      <c r="DD1" s="261" t="s">
        <v>194</v>
      </c>
      <c r="DE1" s="261" t="s">
        <v>193</v>
      </c>
      <c r="DF1" s="261" t="s">
        <v>192</v>
      </c>
      <c r="DG1" s="261" t="s">
        <v>191</v>
      </c>
      <c r="DH1" s="261" t="s">
        <v>190</v>
      </c>
      <c r="DI1" s="261" t="s">
        <v>189</v>
      </c>
      <c r="DJ1" s="261" t="s">
        <v>188</v>
      </c>
      <c r="DK1" s="261" t="s">
        <v>187</v>
      </c>
      <c r="DL1" s="261" t="s">
        <v>186</v>
      </c>
      <c r="DM1" s="261" t="s">
        <v>185</v>
      </c>
      <c r="DN1" s="261" t="s">
        <v>184</v>
      </c>
      <c r="DO1" s="261" t="s">
        <v>183</v>
      </c>
      <c r="DP1" s="261" t="s">
        <v>182</v>
      </c>
      <c r="DQ1" s="262" t="s">
        <v>181</v>
      </c>
      <c r="DR1" s="262" t="s">
        <v>180</v>
      </c>
      <c r="DS1" s="262" t="s">
        <v>179</v>
      </c>
      <c r="DT1" s="262" t="s">
        <v>178</v>
      </c>
      <c r="DU1" s="262" t="s">
        <v>177</v>
      </c>
      <c r="DV1" s="262" t="s">
        <v>176</v>
      </c>
      <c r="DW1" s="262" t="s">
        <v>175</v>
      </c>
      <c r="DX1" s="262" t="s">
        <v>174</v>
      </c>
      <c r="DY1" s="262" t="s">
        <v>173</v>
      </c>
      <c r="DZ1" s="262" t="s">
        <v>172</v>
      </c>
      <c r="EA1" s="262" t="s">
        <v>171</v>
      </c>
      <c r="EB1" s="262" t="s">
        <v>170</v>
      </c>
      <c r="EC1" s="262" t="s">
        <v>169</v>
      </c>
      <c r="ED1" s="262" t="s">
        <v>168</v>
      </c>
      <c r="EE1" s="262" t="s">
        <v>167</v>
      </c>
      <c r="EF1" s="262" t="s">
        <v>166</v>
      </c>
      <c r="EG1" s="262" t="s">
        <v>165</v>
      </c>
      <c r="EH1" s="262" t="s">
        <v>164</v>
      </c>
      <c r="EI1" s="262" t="s">
        <v>163</v>
      </c>
      <c r="EJ1" s="262" t="s">
        <v>162</v>
      </c>
      <c r="EK1" s="262" t="s">
        <v>161</v>
      </c>
      <c r="EL1" s="262" t="s">
        <v>160</v>
      </c>
      <c r="EM1" s="262" t="s">
        <v>159</v>
      </c>
      <c r="EN1" s="262" t="s">
        <v>158</v>
      </c>
      <c r="EO1" s="262" t="s">
        <v>157</v>
      </c>
      <c r="EP1" s="262" t="s">
        <v>156</v>
      </c>
      <c r="EQ1" s="262" t="s">
        <v>155</v>
      </c>
      <c r="ER1" s="260" t="s">
        <v>154</v>
      </c>
      <c r="ES1" s="261" t="s">
        <v>153</v>
      </c>
      <c r="ET1" s="261" t="s">
        <v>152</v>
      </c>
      <c r="EU1" s="261" t="s">
        <v>151</v>
      </c>
      <c r="EV1" s="260" t="s">
        <v>150</v>
      </c>
      <c r="EW1" s="260" t="s">
        <v>149</v>
      </c>
      <c r="EX1" s="260" t="s">
        <v>148</v>
      </c>
      <c r="EY1" s="260" t="s">
        <v>147</v>
      </c>
      <c r="EZ1" s="261" t="s">
        <v>146</v>
      </c>
      <c r="FA1" s="261" t="s">
        <v>145</v>
      </c>
      <c r="FB1" s="261" t="s">
        <v>144</v>
      </c>
      <c r="FC1" s="261" t="s">
        <v>143</v>
      </c>
      <c r="FD1" s="261" t="s">
        <v>142</v>
      </c>
      <c r="FE1" s="261" t="s">
        <v>141</v>
      </c>
      <c r="FF1" s="261" t="s">
        <v>140</v>
      </c>
      <c r="FG1" s="261" t="s">
        <v>139</v>
      </c>
      <c r="FH1" s="261" t="s">
        <v>138</v>
      </c>
      <c r="FI1" s="261" t="s">
        <v>137</v>
      </c>
      <c r="FJ1" s="261" t="s">
        <v>136</v>
      </c>
      <c r="FK1" s="261" t="s">
        <v>135</v>
      </c>
      <c r="FL1" s="261" t="s">
        <v>134</v>
      </c>
      <c r="FM1" s="261" t="s">
        <v>133</v>
      </c>
      <c r="FN1" s="261" t="s">
        <v>132</v>
      </c>
      <c r="FO1" s="261" t="s">
        <v>131</v>
      </c>
      <c r="FP1" s="261" t="s">
        <v>130</v>
      </c>
      <c r="FQ1" s="261" t="s">
        <v>129</v>
      </c>
      <c r="FR1" s="261" t="s">
        <v>128</v>
      </c>
      <c r="FS1" s="261" t="s">
        <v>127</v>
      </c>
      <c r="FT1" s="261" t="s">
        <v>126</v>
      </c>
      <c r="FU1" s="261" t="s">
        <v>125</v>
      </c>
      <c r="FV1" s="261" t="s">
        <v>124</v>
      </c>
      <c r="FW1" s="261" t="s">
        <v>123</v>
      </c>
      <c r="FX1" s="261" t="s">
        <v>122</v>
      </c>
      <c r="FY1" s="261" t="s">
        <v>121</v>
      </c>
      <c r="FZ1" s="261" t="s">
        <v>120</v>
      </c>
      <c r="GA1" s="261" t="s">
        <v>119</v>
      </c>
      <c r="GB1" s="261" t="s">
        <v>118</v>
      </c>
      <c r="GC1" s="261" t="s">
        <v>117</v>
      </c>
      <c r="GD1" s="261" t="s">
        <v>116</v>
      </c>
      <c r="GE1" s="261" t="s">
        <v>115</v>
      </c>
      <c r="GF1" s="261" t="s">
        <v>114</v>
      </c>
      <c r="GG1" s="262" t="s">
        <v>113</v>
      </c>
      <c r="GH1" s="262" t="s">
        <v>112</v>
      </c>
      <c r="GI1" s="262" t="s">
        <v>111</v>
      </c>
      <c r="GJ1" s="262" t="s">
        <v>110</v>
      </c>
      <c r="GK1" s="262" t="s">
        <v>109</v>
      </c>
      <c r="GL1" s="262" t="s">
        <v>108</v>
      </c>
      <c r="GM1" s="262" t="s">
        <v>107</v>
      </c>
      <c r="GN1" s="262" t="s">
        <v>106</v>
      </c>
      <c r="GO1" s="262" t="s">
        <v>105</v>
      </c>
      <c r="GP1" s="262" t="s">
        <v>104</v>
      </c>
      <c r="GQ1" s="262" t="s">
        <v>103</v>
      </c>
      <c r="GR1" s="262" t="s">
        <v>102</v>
      </c>
      <c r="GS1" s="262" t="s">
        <v>101</v>
      </c>
      <c r="GT1" s="262" t="s">
        <v>100</v>
      </c>
      <c r="GU1" s="262" t="s">
        <v>99</v>
      </c>
      <c r="GV1" s="262" t="s">
        <v>98</v>
      </c>
      <c r="GW1" s="262" t="s">
        <v>97</v>
      </c>
      <c r="GX1" s="262" t="s">
        <v>96</v>
      </c>
      <c r="GY1" s="262" t="s">
        <v>95</v>
      </c>
      <c r="GZ1" s="262" t="s">
        <v>94</v>
      </c>
      <c r="HA1" s="262" t="s">
        <v>93</v>
      </c>
      <c r="HB1" s="262" t="s">
        <v>92</v>
      </c>
      <c r="HC1" s="262" t="s">
        <v>91</v>
      </c>
      <c r="HD1" s="262" t="s">
        <v>90</v>
      </c>
      <c r="HE1" s="262" t="s">
        <v>89</v>
      </c>
      <c r="HF1" s="262" t="s">
        <v>88</v>
      </c>
      <c r="HG1" s="262" t="s">
        <v>87</v>
      </c>
      <c r="HH1" s="262" t="s">
        <v>86</v>
      </c>
      <c r="HI1" s="262" t="s">
        <v>85</v>
      </c>
      <c r="HJ1" s="261" t="s">
        <v>84</v>
      </c>
      <c r="HK1" s="261" t="s">
        <v>83</v>
      </c>
      <c r="HL1" s="261" t="s">
        <v>82</v>
      </c>
      <c r="HM1" s="261" t="s">
        <v>81</v>
      </c>
      <c r="HN1" s="261"/>
    </row>
    <row r="2" spans="1:222" s="249" customFormat="1" x14ac:dyDescent="0.25">
      <c r="A2" s="248"/>
      <c r="B2" s="248"/>
      <c r="C2" s="248"/>
      <c r="D2" s="248"/>
      <c r="E2" s="248"/>
      <c r="F2" s="248"/>
      <c r="G2" s="248"/>
      <c r="H2" s="248"/>
      <c r="I2" s="248"/>
      <c r="J2" s="259"/>
      <c r="K2" s="259"/>
      <c r="L2" s="248"/>
      <c r="M2" s="248"/>
      <c r="N2" s="248"/>
      <c r="O2" s="248"/>
      <c r="P2" s="248"/>
      <c r="Q2" s="248"/>
      <c r="R2" s="248"/>
      <c r="S2" s="248"/>
      <c r="T2" s="248"/>
      <c r="U2" s="248"/>
      <c r="V2" s="248"/>
      <c r="W2" s="248"/>
      <c r="X2" s="248"/>
      <c r="Y2" s="248"/>
      <c r="Z2" s="248"/>
      <c r="AA2" s="248"/>
      <c r="AB2" s="248"/>
      <c r="AC2" s="248"/>
      <c r="AD2" s="248"/>
      <c r="AE2" s="248"/>
      <c r="AF2" s="248"/>
      <c r="AG2" s="248"/>
      <c r="AL2" s="248"/>
      <c r="AM2" s="248"/>
      <c r="AN2" s="248"/>
      <c r="AO2" s="248"/>
      <c r="AQ2" s="252"/>
      <c r="AR2" s="254"/>
      <c r="AS2" s="254"/>
      <c r="AT2" s="254"/>
      <c r="AV2" s="252"/>
      <c r="AW2" s="254"/>
      <c r="AX2" s="254"/>
      <c r="AY2" s="254"/>
      <c r="AZ2" s="254"/>
      <c r="BA2" s="248"/>
      <c r="BB2" s="250"/>
      <c r="BC2" s="259"/>
      <c r="BD2" s="259"/>
      <c r="BE2" s="248"/>
      <c r="BF2" s="248"/>
      <c r="BG2" s="248"/>
      <c r="BH2" s="252"/>
      <c r="BI2" s="248"/>
      <c r="BJ2" s="248"/>
      <c r="BK2" s="248"/>
      <c r="BL2" s="248"/>
      <c r="BM2" s="248"/>
      <c r="BN2" s="248"/>
      <c r="BP2" s="248"/>
      <c r="BQ2" s="248"/>
      <c r="BR2" s="248"/>
      <c r="BS2" s="248"/>
      <c r="BT2" s="250"/>
      <c r="BU2" s="250"/>
      <c r="BV2" s="250"/>
      <c r="BW2" s="250"/>
      <c r="BX2" s="248"/>
      <c r="BY2" s="248"/>
      <c r="BZ2" s="248"/>
      <c r="CA2" s="248"/>
      <c r="CB2" s="254"/>
      <c r="CC2" s="254"/>
      <c r="CD2" s="254"/>
      <c r="CE2" s="254"/>
      <c r="CF2" s="258"/>
      <c r="CG2" s="258"/>
      <c r="CH2" s="256"/>
      <c r="CI2" s="257"/>
      <c r="CJ2" s="256"/>
      <c r="CK2" s="255"/>
      <c r="CL2" s="248"/>
      <c r="CM2" s="248"/>
      <c r="CN2" s="248"/>
      <c r="CO2" s="248"/>
      <c r="CP2" s="248"/>
      <c r="CQ2" s="254"/>
      <c r="CR2" s="254"/>
      <c r="CS2" s="248"/>
      <c r="CT2" s="254"/>
      <c r="CU2" s="254"/>
      <c r="CV2" s="248"/>
      <c r="CW2" s="248"/>
      <c r="CX2" s="253"/>
      <c r="CY2" s="248"/>
      <c r="CZ2" s="248"/>
      <c r="DA2" s="248"/>
      <c r="DB2" s="248"/>
      <c r="DC2" s="248"/>
      <c r="DD2" s="248"/>
      <c r="DE2" s="248"/>
      <c r="DF2" s="248"/>
      <c r="DG2" s="248"/>
      <c r="DH2" s="248"/>
      <c r="DI2" s="248"/>
      <c r="DJ2" s="248"/>
      <c r="DK2" s="248"/>
      <c r="DL2" s="248"/>
      <c r="DM2" s="248"/>
      <c r="DN2" s="248"/>
      <c r="DO2" s="248"/>
      <c r="DP2" s="248"/>
      <c r="DQ2" s="250"/>
      <c r="DR2" s="250"/>
      <c r="DS2" s="250"/>
      <c r="DT2" s="250"/>
      <c r="DU2" s="250"/>
      <c r="DV2" s="250"/>
      <c r="DW2" s="250"/>
      <c r="DX2" s="250"/>
      <c r="DY2" s="250"/>
      <c r="DZ2" s="250"/>
      <c r="EA2" s="250"/>
      <c r="EB2" s="250"/>
      <c r="EC2" s="250"/>
      <c r="ED2" s="250"/>
      <c r="EE2" s="250"/>
      <c r="EF2" s="250"/>
      <c r="EG2" s="250"/>
      <c r="EH2" s="250"/>
      <c r="EI2" s="250"/>
      <c r="EJ2" s="250"/>
      <c r="EK2" s="250"/>
      <c r="EL2" s="250"/>
      <c r="EM2" s="250"/>
      <c r="EN2" s="250"/>
      <c r="EO2" s="250"/>
      <c r="EP2" s="251"/>
      <c r="EQ2" s="250"/>
      <c r="ER2" s="252"/>
      <c r="ES2" s="248"/>
      <c r="ET2" s="248"/>
      <c r="EU2" s="248"/>
      <c r="EW2" s="252"/>
      <c r="EY2" s="252"/>
      <c r="EZ2" s="248"/>
      <c r="FA2" s="248"/>
      <c r="FB2" s="248"/>
      <c r="FC2" s="248"/>
      <c r="FD2" s="248"/>
      <c r="FE2" s="248"/>
      <c r="FF2" s="248"/>
      <c r="FG2" s="248"/>
      <c r="FH2" s="248"/>
      <c r="FI2" s="248"/>
      <c r="FJ2" s="248"/>
      <c r="FK2" s="248"/>
      <c r="FL2" s="248"/>
      <c r="FM2" s="248"/>
      <c r="FN2" s="248"/>
      <c r="FO2" s="248"/>
      <c r="FP2" s="248"/>
      <c r="FQ2" s="248"/>
      <c r="FR2" s="248"/>
      <c r="FS2" s="248"/>
      <c r="FT2" s="248"/>
      <c r="FU2" s="248"/>
      <c r="FV2" s="248"/>
      <c r="FW2" s="248"/>
      <c r="FX2" s="248"/>
      <c r="FY2" s="248"/>
      <c r="FZ2" s="248"/>
      <c r="GA2" s="248"/>
      <c r="GB2" s="248"/>
      <c r="GC2" s="248"/>
      <c r="GD2" s="248"/>
      <c r="GE2" s="248"/>
      <c r="GF2" s="248"/>
      <c r="GG2" s="250"/>
      <c r="GH2" s="250"/>
      <c r="GI2" s="250"/>
      <c r="GJ2" s="250"/>
      <c r="GK2" s="250"/>
      <c r="GL2" s="250"/>
      <c r="GM2" s="250"/>
      <c r="GN2" s="250"/>
      <c r="GO2" s="250"/>
      <c r="GP2" s="250"/>
      <c r="GQ2" s="250"/>
      <c r="GR2" s="250"/>
      <c r="GS2" s="250"/>
      <c r="GT2" s="250"/>
      <c r="GU2" s="250"/>
      <c r="GV2" s="250"/>
      <c r="GW2" s="250"/>
      <c r="GX2" s="250"/>
      <c r="GY2" s="250"/>
      <c r="GZ2" s="250"/>
      <c r="HA2" s="250"/>
      <c r="HB2" s="250"/>
      <c r="HC2" s="250"/>
      <c r="HD2" s="250"/>
      <c r="HE2" s="250"/>
      <c r="HF2" s="250"/>
      <c r="HG2" s="250"/>
      <c r="HH2" s="251"/>
      <c r="HI2" s="250"/>
      <c r="HJ2" s="248"/>
      <c r="HK2" s="248"/>
      <c r="HL2" s="248"/>
      <c r="HM2" s="248"/>
      <c r="HN2" s="250"/>
    </row>
  </sheetData>
  <autoFilter ref="A1:HN2" xr:uid="{00000000-0009-0000-0000-000006000000}"/>
  <pageMargins left="0.7" right="0.7" top="0.78740157499999996" bottom="0.78740157499999996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HN2"/>
  <sheetViews>
    <sheetView zoomScaleNormal="100" workbookViewId="0"/>
  </sheetViews>
  <sheetFormatPr baseColWidth="10" defaultColWidth="11.42578125" defaultRowHeight="15" x14ac:dyDescent="0.25"/>
  <cols>
    <col min="1" max="1" width="29.42578125" style="45" customWidth="1"/>
    <col min="2" max="3" width="46.5703125" style="45" customWidth="1"/>
    <col min="4" max="5" width="10.7109375" style="45" customWidth="1"/>
    <col min="6" max="7" width="14.85546875" style="45" customWidth="1"/>
    <col min="8" max="8" width="22.28515625" style="45" bestFit="1" customWidth="1"/>
    <col min="9" max="9" width="12.7109375" style="45" bestFit="1" customWidth="1"/>
    <col min="10" max="10" width="27.140625" style="45" bestFit="1" customWidth="1"/>
    <col min="11" max="11" width="22.140625" style="45" bestFit="1" customWidth="1"/>
    <col min="12" max="12" width="32" style="45" customWidth="1"/>
    <col min="13" max="13" width="20.28515625" style="45" customWidth="1"/>
    <col min="14" max="14" width="11.42578125" style="45" customWidth="1"/>
    <col min="15" max="15" width="22.7109375" style="45" customWidth="1"/>
    <col min="16" max="16" width="32" style="45" customWidth="1"/>
    <col min="17" max="17" width="20.28515625" style="45" customWidth="1"/>
    <col min="18" max="18" width="11.42578125" style="45" customWidth="1"/>
    <col min="19" max="19" width="22.7109375" style="45" customWidth="1"/>
    <col min="20" max="20" width="17.140625" style="45" customWidth="1"/>
    <col min="21" max="21" width="15.140625" style="45" customWidth="1"/>
    <col min="22" max="22" width="15.7109375" style="45" customWidth="1"/>
    <col min="23" max="23" width="18.140625" style="45" customWidth="1"/>
    <col min="24" max="27" width="17.140625" style="45" customWidth="1"/>
    <col min="28" max="32" width="11.5703125" style="45" customWidth="1"/>
    <col min="33" max="33" width="15.5703125" style="45" customWidth="1"/>
    <col min="34" max="34" width="21.28515625" customWidth="1"/>
    <col min="35" max="35" width="34.140625" customWidth="1"/>
    <col min="36" max="36" width="40" customWidth="1"/>
    <col min="37" max="37" width="38.7109375" customWidth="1"/>
    <col min="38" max="41" width="22.28515625" style="45" customWidth="1"/>
    <col min="42" max="42" width="26.5703125" customWidth="1"/>
    <col min="43" max="43" width="55.28515625" style="1" customWidth="1"/>
    <col min="44" max="44" width="26" style="243" customWidth="1"/>
    <col min="45" max="45" width="23.7109375" customWidth="1"/>
    <col min="46" max="46" width="24.140625" style="45" customWidth="1"/>
    <col min="47" max="47" width="26.5703125" customWidth="1"/>
    <col min="48" max="48" width="55.28515625" style="1" customWidth="1"/>
    <col min="49" max="49" width="26" style="45" customWidth="1"/>
    <col min="50" max="50" width="23.7109375" customWidth="1"/>
    <col min="51" max="51" width="24.140625" style="45" customWidth="1"/>
    <col min="52" max="52" width="13.5703125" style="243" customWidth="1"/>
    <col min="53" max="53" width="13.7109375" style="45" customWidth="1"/>
    <col min="54" max="54" width="16.7109375" customWidth="1"/>
    <col min="55" max="56" width="23.5703125" customWidth="1"/>
    <col min="57" max="59" width="25.7109375" style="248" customWidth="1"/>
    <col min="60" max="60" width="39.140625" customWidth="1"/>
    <col min="61" max="61" width="14.5703125" style="248" customWidth="1"/>
    <col min="62" max="63" width="15.28515625" customWidth="1"/>
    <col min="64" max="64" width="15.42578125" customWidth="1"/>
    <col min="65" max="65" width="14.5703125" customWidth="1"/>
    <col min="66" max="66" width="16.85546875" customWidth="1"/>
    <col min="67" max="67" width="14.85546875" customWidth="1"/>
    <col min="68" max="71" width="16.28515625" style="45" customWidth="1"/>
    <col min="72" max="74" width="12.28515625" style="240" customWidth="1"/>
    <col min="75" max="75" width="16.7109375" style="240" customWidth="1"/>
    <col min="76" max="77" width="15" style="45" customWidth="1"/>
    <col min="78" max="79" width="17.5703125" style="45" customWidth="1"/>
    <col min="80" max="80" width="16.7109375" style="243" customWidth="1"/>
    <col min="81" max="82" width="14.85546875" style="243" customWidth="1"/>
    <col min="83" max="83" width="13.42578125" style="243" customWidth="1"/>
    <col min="84" max="84" width="22" style="247" customWidth="1"/>
    <col min="85" max="85" width="47.28515625" style="247" customWidth="1"/>
    <col min="86" max="86" width="19.140625" style="245" customWidth="1"/>
    <col min="87" max="87" width="47.28515625" style="246" customWidth="1"/>
    <col min="88" max="88" width="24.42578125" style="245" customWidth="1"/>
    <col min="89" max="89" width="24.42578125" style="244" customWidth="1"/>
    <col min="90" max="90" width="24.42578125" style="45" customWidth="1"/>
    <col min="91" max="91" width="23.7109375" style="45" bestFit="1" customWidth="1"/>
    <col min="92" max="93" width="24.7109375" style="45" bestFit="1" customWidth="1"/>
    <col min="94" max="94" width="23.7109375" style="45" bestFit="1" customWidth="1"/>
    <col min="95" max="96" width="23.7109375" style="243" bestFit="1" customWidth="1"/>
    <col min="97" max="97" width="24.7109375" style="45" bestFit="1" customWidth="1"/>
    <col min="98" max="99" width="24.7109375" style="243" bestFit="1" customWidth="1"/>
    <col min="100" max="100" width="24.28515625" style="45" bestFit="1" customWidth="1"/>
    <col min="101" max="101" width="25.28515625" style="45" bestFit="1" customWidth="1"/>
    <col min="102" max="102" width="26.42578125" style="242" bestFit="1" customWidth="1"/>
    <col min="103" max="108" width="26.42578125" style="45" bestFit="1" customWidth="1"/>
    <col min="109" max="110" width="19" style="45" bestFit="1" customWidth="1"/>
    <col min="111" max="111" width="17.42578125" style="45" bestFit="1" customWidth="1"/>
    <col min="112" max="112" width="19" style="45" bestFit="1" customWidth="1"/>
    <col min="113" max="115" width="20" style="45" bestFit="1" customWidth="1"/>
    <col min="116" max="119" width="18.42578125" style="45" bestFit="1" customWidth="1"/>
    <col min="120" max="120" width="19.42578125" style="45" bestFit="1" customWidth="1"/>
    <col min="121" max="121" width="17.28515625" style="240" bestFit="1" customWidth="1"/>
    <col min="122" max="122" width="17" style="240" bestFit="1" customWidth="1"/>
    <col min="123" max="123" width="17.5703125" style="240" bestFit="1" customWidth="1"/>
    <col min="124" max="124" width="18.42578125" style="240" bestFit="1" customWidth="1"/>
    <col min="125" max="125" width="18.140625" style="240" bestFit="1" customWidth="1"/>
    <col min="126" max="126" width="18.7109375" style="240" bestFit="1" customWidth="1"/>
    <col min="127" max="127" width="16.5703125" style="240" bestFit="1" customWidth="1"/>
    <col min="128" max="128" width="16.28515625" style="240" bestFit="1" customWidth="1"/>
    <col min="129" max="129" width="16.85546875" style="240" bestFit="1" customWidth="1"/>
    <col min="130" max="130" width="15.5703125" style="240" bestFit="1" customWidth="1"/>
    <col min="131" max="131" width="15.28515625" style="240" bestFit="1" customWidth="1"/>
    <col min="132" max="132" width="15.85546875" style="240" bestFit="1" customWidth="1"/>
    <col min="133" max="133" width="20" style="240" bestFit="1" customWidth="1"/>
    <col min="134" max="134" width="19.7109375" style="240" bestFit="1" customWidth="1"/>
    <col min="135" max="135" width="20.28515625" style="240" bestFit="1" customWidth="1"/>
    <col min="136" max="136" width="16.5703125" style="240" bestFit="1" customWidth="1"/>
    <col min="137" max="137" width="16.28515625" style="240" bestFit="1" customWidth="1"/>
    <col min="138" max="139" width="16.85546875" style="240" bestFit="1" customWidth="1"/>
    <col min="140" max="140" width="16.5703125" style="240" bestFit="1" customWidth="1"/>
    <col min="141" max="141" width="17.140625" style="240" bestFit="1" customWidth="1"/>
    <col min="142" max="142" width="16.28515625" style="240" bestFit="1" customWidth="1"/>
    <col min="143" max="143" width="15.85546875" style="240" bestFit="1" customWidth="1"/>
    <col min="144" max="144" width="16.5703125" style="240" bestFit="1" customWidth="1"/>
    <col min="145" max="145" width="20" style="240" bestFit="1" customWidth="1"/>
    <col min="146" max="146" width="19.7109375" style="241" bestFit="1" customWidth="1"/>
    <col min="147" max="147" width="20.28515625" style="240" bestFit="1" customWidth="1"/>
    <col min="148" max="148" width="61.85546875" customWidth="1"/>
    <col min="149" max="149" width="19" style="45" bestFit="1" customWidth="1"/>
    <col min="150" max="151" width="21.28515625" style="45" customWidth="1"/>
    <col min="152" max="152" width="24.42578125" customWidth="1"/>
    <col min="153" max="153" width="57.140625" customWidth="1"/>
    <col min="154" max="154" width="20.42578125" customWidth="1"/>
    <col min="155" max="155" width="57.140625" customWidth="1"/>
    <col min="156" max="156" width="22.5703125" style="45" bestFit="1" customWidth="1"/>
    <col min="157" max="157" width="23.140625" style="45" bestFit="1" customWidth="1"/>
    <col min="158" max="158" width="17.85546875" style="45" bestFit="1" customWidth="1"/>
    <col min="159" max="159" width="26.140625" style="45" bestFit="1" customWidth="1"/>
    <col min="160" max="161" width="27.28515625" style="45" bestFit="1" customWidth="1"/>
    <col min="162" max="164" width="26.140625" style="45" bestFit="1" customWidth="1"/>
    <col min="165" max="167" width="27.28515625" style="45" bestFit="1" customWidth="1"/>
    <col min="168" max="168" width="26.85546875" style="45" bestFit="1" customWidth="1"/>
    <col min="169" max="169" width="27.85546875" style="45" bestFit="1" customWidth="1"/>
    <col min="170" max="176" width="28.85546875" style="45" bestFit="1" customWidth="1"/>
    <col min="177" max="178" width="21.5703125" style="45" bestFit="1" customWidth="1"/>
    <col min="179" max="179" width="19.85546875" style="45" bestFit="1" customWidth="1"/>
    <col min="180" max="180" width="21.5703125" style="45" bestFit="1" customWidth="1"/>
    <col min="181" max="183" width="22.5703125" style="45" bestFit="1" customWidth="1"/>
    <col min="184" max="187" width="20.85546875" style="45" bestFit="1" customWidth="1"/>
    <col min="188" max="188" width="22" style="45" bestFit="1" customWidth="1"/>
    <col min="189" max="189" width="19.7109375" style="240" bestFit="1" customWidth="1"/>
    <col min="190" max="190" width="19.42578125" style="240" bestFit="1" customWidth="1"/>
    <col min="191" max="191" width="20" style="240" bestFit="1" customWidth="1"/>
    <col min="192" max="192" width="20.85546875" style="240" bestFit="1" customWidth="1"/>
    <col min="193" max="193" width="20.5703125" style="240" customWidth="1"/>
    <col min="194" max="194" width="21.28515625" style="240" bestFit="1" customWidth="1"/>
    <col min="195" max="195" width="19" style="240" bestFit="1" customWidth="1"/>
    <col min="196" max="196" width="18.7109375" style="240" bestFit="1" customWidth="1"/>
    <col min="197" max="197" width="19.28515625" style="240" bestFit="1" customWidth="1"/>
    <col min="198" max="198" width="18.140625" style="240" bestFit="1" customWidth="1"/>
    <col min="199" max="199" width="17.85546875" style="240" bestFit="1" customWidth="1"/>
    <col min="200" max="200" width="18.42578125" style="240" bestFit="1" customWidth="1"/>
    <col min="201" max="201" width="22.5703125" style="240" bestFit="1" customWidth="1"/>
    <col min="202" max="202" width="22.28515625" style="240" bestFit="1" customWidth="1"/>
    <col min="203" max="203" width="22.85546875" style="240" bestFit="1" customWidth="1"/>
    <col min="204" max="204" width="19" style="240" bestFit="1" customWidth="1"/>
    <col min="205" max="205" width="18.7109375" style="240" bestFit="1" customWidth="1"/>
    <col min="206" max="207" width="19.28515625" style="240" bestFit="1" customWidth="1"/>
    <col min="208" max="208" width="19" style="240" bestFit="1" customWidth="1"/>
    <col min="209" max="209" width="19.5703125" style="240" bestFit="1" customWidth="1"/>
    <col min="210" max="210" width="18.7109375" style="240" bestFit="1" customWidth="1"/>
    <col min="211" max="211" width="18.42578125" style="240" bestFit="1" customWidth="1"/>
    <col min="212" max="212" width="19" style="240" bestFit="1" customWidth="1"/>
    <col min="213" max="213" width="22.5703125" style="240" bestFit="1" customWidth="1"/>
    <col min="214" max="214" width="22.28515625" style="240" bestFit="1" customWidth="1"/>
    <col min="215" max="215" width="22.85546875" style="240" bestFit="1" customWidth="1"/>
    <col min="216" max="216" width="76.140625" style="240" customWidth="1"/>
    <col min="217" max="217" width="21.5703125" style="240" bestFit="1" customWidth="1"/>
    <col min="218" max="218" width="19.85546875" style="45" bestFit="1" customWidth="1"/>
    <col min="219" max="219" width="18.28515625" style="45" bestFit="1" customWidth="1"/>
    <col min="220" max="221" width="25.5703125" style="45" customWidth="1"/>
    <col min="222" max="222" width="22.7109375" customWidth="1"/>
  </cols>
  <sheetData>
    <row r="1" spans="1:222" s="260" customFormat="1" x14ac:dyDescent="0.25">
      <c r="A1" s="261" t="s">
        <v>301</v>
      </c>
      <c r="B1" s="261" t="s">
        <v>300</v>
      </c>
      <c r="C1" s="261" t="s">
        <v>299</v>
      </c>
      <c r="D1" s="261" t="s">
        <v>298</v>
      </c>
      <c r="E1" s="261" t="s">
        <v>297</v>
      </c>
      <c r="F1" s="261" t="s">
        <v>296</v>
      </c>
      <c r="G1" s="261" t="s">
        <v>295</v>
      </c>
      <c r="H1" s="261" t="s">
        <v>294</v>
      </c>
      <c r="I1" s="261" t="s">
        <v>293</v>
      </c>
      <c r="J1" s="261" t="s">
        <v>292</v>
      </c>
      <c r="K1" s="261" t="s">
        <v>291</v>
      </c>
      <c r="L1" s="261" t="s">
        <v>290</v>
      </c>
      <c r="M1" s="261" t="s">
        <v>289</v>
      </c>
      <c r="N1" s="261" t="s">
        <v>288</v>
      </c>
      <c r="O1" s="261" t="s">
        <v>287</v>
      </c>
      <c r="P1" s="261" t="s">
        <v>286</v>
      </c>
      <c r="Q1" s="261" t="s">
        <v>285</v>
      </c>
      <c r="R1" s="261" t="s">
        <v>284</v>
      </c>
      <c r="S1" s="261" t="s">
        <v>283</v>
      </c>
      <c r="T1" s="261" t="s">
        <v>282</v>
      </c>
      <c r="U1" s="261" t="s">
        <v>281</v>
      </c>
      <c r="V1" s="261" t="s">
        <v>280</v>
      </c>
      <c r="W1" s="261" t="s">
        <v>279</v>
      </c>
      <c r="X1" s="261" t="s">
        <v>278</v>
      </c>
      <c r="Y1" s="261" t="s">
        <v>277</v>
      </c>
      <c r="Z1" s="261" t="s">
        <v>276</v>
      </c>
      <c r="AA1" s="261" t="s">
        <v>275</v>
      </c>
      <c r="AB1" s="261" t="s">
        <v>274</v>
      </c>
      <c r="AC1" s="261" t="s">
        <v>273</v>
      </c>
      <c r="AD1" s="261" t="s">
        <v>272</v>
      </c>
      <c r="AE1" s="261" t="s">
        <v>271</v>
      </c>
      <c r="AF1" s="261" t="s">
        <v>270</v>
      </c>
      <c r="AG1" s="261" t="s">
        <v>269</v>
      </c>
      <c r="AH1" s="260" t="s">
        <v>268</v>
      </c>
      <c r="AI1" s="260" t="s">
        <v>267</v>
      </c>
      <c r="AJ1" s="260" t="s">
        <v>266</v>
      </c>
      <c r="AK1" s="260" t="s">
        <v>265</v>
      </c>
      <c r="AL1" s="261" t="s">
        <v>264</v>
      </c>
      <c r="AM1" s="261" t="s">
        <v>263</v>
      </c>
      <c r="AN1" s="261" t="s">
        <v>262</v>
      </c>
      <c r="AO1" s="261" t="s">
        <v>261</v>
      </c>
      <c r="AP1" s="260" t="s">
        <v>260</v>
      </c>
      <c r="AQ1" s="264" t="s">
        <v>259</v>
      </c>
      <c r="AR1" s="261" t="s">
        <v>258</v>
      </c>
      <c r="AS1" s="261" t="s">
        <v>257</v>
      </c>
      <c r="AT1" s="261" t="s">
        <v>256</v>
      </c>
      <c r="AU1" s="260" t="s">
        <v>255</v>
      </c>
      <c r="AV1" s="264" t="s">
        <v>254</v>
      </c>
      <c r="AW1" s="261" t="s">
        <v>253</v>
      </c>
      <c r="AX1" s="260" t="s">
        <v>252</v>
      </c>
      <c r="AY1" s="261" t="s">
        <v>251</v>
      </c>
      <c r="AZ1" s="261" t="s">
        <v>250</v>
      </c>
      <c r="BA1" s="261" t="s">
        <v>249</v>
      </c>
      <c r="BB1" s="260" t="s">
        <v>248</v>
      </c>
      <c r="BC1" s="260" t="s">
        <v>247</v>
      </c>
      <c r="BD1" s="260" t="s">
        <v>246</v>
      </c>
      <c r="BE1" s="263" t="s">
        <v>245</v>
      </c>
      <c r="BF1" s="263" t="s">
        <v>244</v>
      </c>
      <c r="BG1" s="263" t="s">
        <v>243</v>
      </c>
      <c r="BH1" s="260" t="s">
        <v>242</v>
      </c>
      <c r="BI1" s="263" t="s">
        <v>241</v>
      </c>
      <c r="BJ1" s="260" t="s">
        <v>240</v>
      </c>
      <c r="BK1" s="260" t="s">
        <v>239</v>
      </c>
      <c r="BL1" s="260" t="s">
        <v>238</v>
      </c>
      <c r="BM1" s="260" t="s">
        <v>237</v>
      </c>
      <c r="BN1" s="260" t="s">
        <v>236</v>
      </c>
      <c r="BO1" s="260" t="s">
        <v>235</v>
      </c>
      <c r="BP1" s="261" t="s">
        <v>234</v>
      </c>
      <c r="BQ1" s="261" t="s">
        <v>233</v>
      </c>
      <c r="BR1" s="261" t="s">
        <v>232</v>
      </c>
      <c r="BS1" s="261" t="s">
        <v>231</v>
      </c>
      <c r="BT1" s="261" t="s">
        <v>230</v>
      </c>
      <c r="BU1" s="261" t="s">
        <v>229</v>
      </c>
      <c r="BV1" s="261" t="s">
        <v>228</v>
      </c>
      <c r="BW1" s="261" t="s">
        <v>227</v>
      </c>
      <c r="BX1" s="261" t="s">
        <v>226</v>
      </c>
      <c r="BY1" s="261" t="s">
        <v>225</v>
      </c>
      <c r="BZ1" s="261" t="s">
        <v>224</v>
      </c>
      <c r="CA1" s="261" t="s">
        <v>223</v>
      </c>
      <c r="CB1" s="261" t="s">
        <v>222</v>
      </c>
      <c r="CC1" s="261" t="s">
        <v>221</v>
      </c>
      <c r="CD1" s="261" t="s">
        <v>220</v>
      </c>
      <c r="CE1" s="261" t="s">
        <v>219</v>
      </c>
      <c r="CF1" s="260" t="s">
        <v>218</v>
      </c>
      <c r="CG1" s="260" t="s">
        <v>217</v>
      </c>
      <c r="CH1" s="261" t="s">
        <v>216</v>
      </c>
      <c r="CI1" s="260" t="s">
        <v>215</v>
      </c>
      <c r="CJ1" s="261" t="s">
        <v>214</v>
      </c>
      <c r="CK1" s="261" t="s">
        <v>213</v>
      </c>
      <c r="CL1" s="261" t="s">
        <v>212</v>
      </c>
      <c r="CM1" s="261" t="s">
        <v>211</v>
      </c>
      <c r="CN1" s="261" t="s">
        <v>210</v>
      </c>
      <c r="CO1" s="261" t="s">
        <v>209</v>
      </c>
      <c r="CP1" s="261" t="s">
        <v>208</v>
      </c>
      <c r="CQ1" s="261" t="s">
        <v>207</v>
      </c>
      <c r="CR1" s="261" t="s">
        <v>206</v>
      </c>
      <c r="CS1" s="261" t="s">
        <v>205</v>
      </c>
      <c r="CT1" s="261" t="s">
        <v>204</v>
      </c>
      <c r="CU1" s="261" t="s">
        <v>203</v>
      </c>
      <c r="CV1" s="261" t="s">
        <v>202</v>
      </c>
      <c r="CW1" s="261" t="s">
        <v>201</v>
      </c>
      <c r="CX1" s="261" t="s">
        <v>200</v>
      </c>
      <c r="CY1" s="261" t="s">
        <v>199</v>
      </c>
      <c r="CZ1" s="261" t="s">
        <v>198</v>
      </c>
      <c r="DA1" s="261" t="s">
        <v>197</v>
      </c>
      <c r="DB1" s="261" t="s">
        <v>196</v>
      </c>
      <c r="DC1" s="261" t="s">
        <v>195</v>
      </c>
      <c r="DD1" s="261" t="s">
        <v>194</v>
      </c>
      <c r="DE1" s="261" t="s">
        <v>193</v>
      </c>
      <c r="DF1" s="261" t="s">
        <v>192</v>
      </c>
      <c r="DG1" s="261" t="s">
        <v>191</v>
      </c>
      <c r="DH1" s="261" t="s">
        <v>190</v>
      </c>
      <c r="DI1" s="261" t="s">
        <v>189</v>
      </c>
      <c r="DJ1" s="261" t="s">
        <v>188</v>
      </c>
      <c r="DK1" s="261" t="s">
        <v>187</v>
      </c>
      <c r="DL1" s="261" t="s">
        <v>186</v>
      </c>
      <c r="DM1" s="261" t="s">
        <v>185</v>
      </c>
      <c r="DN1" s="261" t="s">
        <v>184</v>
      </c>
      <c r="DO1" s="261" t="s">
        <v>183</v>
      </c>
      <c r="DP1" s="261" t="s">
        <v>182</v>
      </c>
      <c r="DQ1" s="262" t="s">
        <v>181</v>
      </c>
      <c r="DR1" s="262" t="s">
        <v>180</v>
      </c>
      <c r="DS1" s="262" t="s">
        <v>179</v>
      </c>
      <c r="DT1" s="262" t="s">
        <v>178</v>
      </c>
      <c r="DU1" s="262" t="s">
        <v>177</v>
      </c>
      <c r="DV1" s="262" t="s">
        <v>176</v>
      </c>
      <c r="DW1" s="262" t="s">
        <v>175</v>
      </c>
      <c r="DX1" s="262" t="s">
        <v>174</v>
      </c>
      <c r="DY1" s="262" t="s">
        <v>173</v>
      </c>
      <c r="DZ1" s="262" t="s">
        <v>172</v>
      </c>
      <c r="EA1" s="262" t="s">
        <v>171</v>
      </c>
      <c r="EB1" s="262" t="s">
        <v>170</v>
      </c>
      <c r="EC1" s="262" t="s">
        <v>169</v>
      </c>
      <c r="ED1" s="262" t="s">
        <v>168</v>
      </c>
      <c r="EE1" s="262" t="s">
        <v>167</v>
      </c>
      <c r="EF1" s="262" t="s">
        <v>166</v>
      </c>
      <c r="EG1" s="262" t="s">
        <v>165</v>
      </c>
      <c r="EH1" s="262" t="s">
        <v>164</v>
      </c>
      <c r="EI1" s="262" t="s">
        <v>163</v>
      </c>
      <c r="EJ1" s="262" t="s">
        <v>162</v>
      </c>
      <c r="EK1" s="262" t="s">
        <v>161</v>
      </c>
      <c r="EL1" s="262" t="s">
        <v>160</v>
      </c>
      <c r="EM1" s="262" t="s">
        <v>159</v>
      </c>
      <c r="EN1" s="262" t="s">
        <v>158</v>
      </c>
      <c r="EO1" s="262" t="s">
        <v>157</v>
      </c>
      <c r="EP1" s="262" t="s">
        <v>156</v>
      </c>
      <c r="EQ1" s="262" t="s">
        <v>155</v>
      </c>
      <c r="ER1" s="260" t="s">
        <v>154</v>
      </c>
      <c r="ES1" s="261" t="s">
        <v>153</v>
      </c>
      <c r="ET1" s="261" t="s">
        <v>152</v>
      </c>
      <c r="EU1" s="261" t="s">
        <v>151</v>
      </c>
      <c r="EV1" s="260" t="s">
        <v>150</v>
      </c>
      <c r="EW1" s="260" t="s">
        <v>149</v>
      </c>
      <c r="EX1" s="260" t="s">
        <v>148</v>
      </c>
      <c r="EY1" s="260" t="s">
        <v>147</v>
      </c>
      <c r="EZ1" s="261" t="s">
        <v>146</v>
      </c>
      <c r="FA1" s="261" t="s">
        <v>145</v>
      </c>
      <c r="FB1" s="261" t="s">
        <v>144</v>
      </c>
      <c r="FC1" s="261" t="s">
        <v>143</v>
      </c>
      <c r="FD1" s="261" t="s">
        <v>142</v>
      </c>
      <c r="FE1" s="261" t="s">
        <v>141</v>
      </c>
      <c r="FF1" s="261" t="s">
        <v>140</v>
      </c>
      <c r="FG1" s="261" t="s">
        <v>139</v>
      </c>
      <c r="FH1" s="261" t="s">
        <v>138</v>
      </c>
      <c r="FI1" s="261" t="s">
        <v>137</v>
      </c>
      <c r="FJ1" s="261" t="s">
        <v>136</v>
      </c>
      <c r="FK1" s="261" t="s">
        <v>135</v>
      </c>
      <c r="FL1" s="261" t="s">
        <v>134</v>
      </c>
      <c r="FM1" s="261" t="s">
        <v>133</v>
      </c>
      <c r="FN1" s="261" t="s">
        <v>132</v>
      </c>
      <c r="FO1" s="261" t="s">
        <v>131</v>
      </c>
      <c r="FP1" s="261" t="s">
        <v>130</v>
      </c>
      <c r="FQ1" s="261" t="s">
        <v>129</v>
      </c>
      <c r="FR1" s="261" t="s">
        <v>128</v>
      </c>
      <c r="FS1" s="261" t="s">
        <v>127</v>
      </c>
      <c r="FT1" s="261" t="s">
        <v>126</v>
      </c>
      <c r="FU1" s="261" t="s">
        <v>125</v>
      </c>
      <c r="FV1" s="261" t="s">
        <v>124</v>
      </c>
      <c r="FW1" s="261" t="s">
        <v>123</v>
      </c>
      <c r="FX1" s="261" t="s">
        <v>122</v>
      </c>
      <c r="FY1" s="261" t="s">
        <v>121</v>
      </c>
      <c r="FZ1" s="261" t="s">
        <v>120</v>
      </c>
      <c r="GA1" s="261" t="s">
        <v>119</v>
      </c>
      <c r="GB1" s="261" t="s">
        <v>118</v>
      </c>
      <c r="GC1" s="261" t="s">
        <v>117</v>
      </c>
      <c r="GD1" s="261" t="s">
        <v>116</v>
      </c>
      <c r="GE1" s="261" t="s">
        <v>115</v>
      </c>
      <c r="GF1" s="261" t="s">
        <v>114</v>
      </c>
      <c r="GG1" s="262" t="s">
        <v>113</v>
      </c>
      <c r="GH1" s="262" t="s">
        <v>112</v>
      </c>
      <c r="GI1" s="262" t="s">
        <v>111</v>
      </c>
      <c r="GJ1" s="262" t="s">
        <v>110</v>
      </c>
      <c r="GK1" s="262" t="s">
        <v>109</v>
      </c>
      <c r="GL1" s="262" t="s">
        <v>108</v>
      </c>
      <c r="GM1" s="262" t="s">
        <v>107</v>
      </c>
      <c r="GN1" s="262" t="s">
        <v>106</v>
      </c>
      <c r="GO1" s="262" t="s">
        <v>105</v>
      </c>
      <c r="GP1" s="262" t="s">
        <v>104</v>
      </c>
      <c r="GQ1" s="262" t="s">
        <v>103</v>
      </c>
      <c r="GR1" s="262" t="s">
        <v>102</v>
      </c>
      <c r="GS1" s="262" t="s">
        <v>101</v>
      </c>
      <c r="GT1" s="262" t="s">
        <v>100</v>
      </c>
      <c r="GU1" s="262" t="s">
        <v>99</v>
      </c>
      <c r="GV1" s="262" t="s">
        <v>98</v>
      </c>
      <c r="GW1" s="262" t="s">
        <v>97</v>
      </c>
      <c r="GX1" s="262" t="s">
        <v>96</v>
      </c>
      <c r="GY1" s="262" t="s">
        <v>95</v>
      </c>
      <c r="GZ1" s="262" t="s">
        <v>94</v>
      </c>
      <c r="HA1" s="262" t="s">
        <v>93</v>
      </c>
      <c r="HB1" s="262" t="s">
        <v>92</v>
      </c>
      <c r="HC1" s="262" t="s">
        <v>91</v>
      </c>
      <c r="HD1" s="262" t="s">
        <v>90</v>
      </c>
      <c r="HE1" s="262" t="s">
        <v>89</v>
      </c>
      <c r="HF1" s="262" t="s">
        <v>88</v>
      </c>
      <c r="HG1" s="262" t="s">
        <v>87</v>
      </c>
      <c r="HH1" s="262" t="s">
        <v>86</v>
      </c>
      <c r="HI1" s="262" t="s">
        <v>85</v>
      </c>
      <c r="HJ1" s="261" t="s">
        <v>84</v>
      </c>
      <c r="HK1" s="261" t="s">
        <v>83</v>
      </c>
      <c r="HL1" s="261" t="s">
        <v>82</v>
      </c>
      <c r="HM1" s="261" t="s">
        <v>81</v>
      </c>
      <c r="HN1" s="261"/>
    </row>
    <row r="2" spans="1:222" s="249" customFormat="1" x14ac:dyDescent="0.25">
      <c r="A2" s="248"/>
      <c r="B2" s="248"/>
      <c r="C2" s="248"/>
      <c r="D2" s="248"/>
      <c r="E2" s="248"/>
      <c r="F2" s="248"/>
      <c r="G2" s="248"/>
      <c r="H2" s="248"/>
      <c r="I2" s="248"/>
      <c r="J2" s="259"/>
      <c r="K2" s="259"/>
      <c r="L2" s="248"/>
      <c r="M2" s="248"/>
      <c r="N2" s="248"/>
      <c r="O2" s="248"/>
      <c r="P2" s="248"/>
      <c r="Q2" s="248"/>
      <c r="R2" s="248"/>
      <c r="S2" s="248"/>
      <c r="T2" s="248"/>
      <c r="U2" s="248"/>
      <c r="V2" s="248"/>
      <c r="W2" s="248"/>
      <c r="X2" s="248"/>
      <c r="Y2" s="248"/>
      <c r="Z2" s="248"/>
      <c r="AA2" s="248"/>
      <c r="AB2" s="248"/>
      <c r="AC2" s="248"/>
      <c r="AD2" s="248"/>
      <c r="AE2" s="248"/>
      <c r="AF2" s="248"/>
      <c r="AG2" s="248"/>
      <c r="AL2" s="248"/>
      <c r="AM2" s="248"/>
      <c r="AN2" s="248"/>
      <c r="AO2" s="248"/>
      <c r="AQ2" s="252"/>
      <c r="AR2" s="254"/>
      <c r="AS2" s="254"/>
      <c r="AT2" s="254"/>
      <c r="AV2" s="252"/>
      <c r="AW2" s="254"/>
      <c r="AX2" s="254"/>
      <c r="AY2" s="254"/>
      <c r="AZ2" s="254"/>
      <c r="BA2" s="248"/>
      <c r="BB2" s="250"/>
      <c r="BC2" s="259"/>
      <c r="BD2" s="259"/>
      <c r="BE2" s="248"/>
      <c r="BF2" s="248"/>
      <c r="BG2" s="248"/>
      <c r="BH2" s="252"/>
      <c r="BI2" s="248"/>
      <c r="BJ2" s="248"/>
      <c r="BK2" s="248"/>
      <c r="BL2" s="248"/>
      <c r="BM2" s="248"/>
      <c r="BN2" s="248"/>
      <c r="BP2" s="248"/>
      <c r="BQ2" s="248"/>
      <c r="BR2" s="248"/>
      <c r="BS2" s="248"/>
      <c r="BT2" s="250"/>
      <c r="BU2" s="250"/>
      <c r="BV2" s="250"/>
      <c r="BW2" s="250"/>
      <c r="BX2" s="248"/>
      <c r="BY2" s="248"/>
      <c r="BZ2" s="248"/>
      <c r="CA2" s="248"/>
      <c r="CB2" s="254"/>
      <c r="CC2" s="254"/>
      <c r="CD2" s="254"/>
      <c r="CE2" s="254"/>
      <c r="CF2" s="258"/>
      <c r="CG2" s="258"/>
      <c r="CH2" s="256"/>
      <c r="CI2" s="257"/>
      <c r="CJ2" s="256"/>
      <c r="CK2" s="255"/>
      <c r="CL2" s="248"/>
      <c r="CM2" s="248"/>
      <c r="CN2" s="248"/>
      <c r="CO2" s="248"/>
      <c r="CP2" s="248"/>
      <c r="CQ2" s="254"/>
      <c r="CR2" s="254"/>
      <c r="CS2" s="248"/>
      <c r="CT2" s="254"/>
      <c r="CU2" s="254"/>
      <c r="CV2" s="248"/>
      <c r="CW2" s="248"/>
      <c r="CX2" s="253"/>
      <c r="CY2" s="248"/>
      <c r="CZ2" s="248"/>
      <c r="DA2" s="248"/>
      <c r="DB2" s="248"/>
      <c r="DC2" s="248"/>
      <c r="DD2" s="248"/>
      <c r="DE2" s="248"/>
      <c r="DF2" s="248"/>
      <c r="DG2" s="248"/>
      <c r="DH2" s="248"/>
      <c r="DI2" s="248"/>
      <c r="DJ2" s="248"/>
      <c r="DK2" s="248"/>
      <c r="DL2" s="248"/>
      <c r="DM2" s="248"/>
      <c r="DN2" s="248"/>
      <c r="DO2" s="248"/>
      <c r="DP2" s="248"/>
      <c r="DQ2" s="250"/>
      <c r="DR2" s="250"/>
      <c r="DS2" s="250"/>
      <c r="DT2" s="250"/>
      <c r="DU2" s="250"/>
      <c r="DV2" s="250"/>
      <c r="DW2" s="250"/>
      <c r="DX2" s="250"/>
      <c r="DY2" s="250"/>
      <c r="DZ2" s="250"/>
      <c r="EA2" s="250"/>
      <c r="EB2" s="250"/>
      <c r="EC2" s="250"/>
      <c r="ED2" s="250"/>
      <c r="EE2" s="250"/>
      <c r="EF2" s="250"/>
      <c r="EG2" s="250"/>
      <c r="EH2" s="250"/>
      <c r="EI2" s="250"/>
      <c r="EJ2" s="250"/>
      <c r="EK2" s="250"/>
      <c r="EL2" s="250"/>
      <c r="EM2" s="250"/>
      <c r="EN2" s="250"/>
      <c r="EO2" s="250"/>
      <c r="EP2" s="251"/>
      <c r="EQ2" s="250"/>
      <c r="ER2" s="252"/>
      <c r="ES2" s="248"/>
      <c r="ET2" s="248"/>
      <c r="EU2" s="248"/>
      <c r="EW2" s="252"/>
      <c r="EY2" s="252"/>
      <c r="EZ2" s="248"/>
      <c r="FA2" s="248"/>
      <c r="FB2" s="248"/>
      <c r="FC2" s="248"/>
      <c r="FD2" s="248"/>
      <c r="FE2" s="248"/>
      <c r="FF2" s="248"/>
      <c r="FG2" s="248"/>
      <c r="FH2" s="248"/>
      <c r="FI2" s="248"/>
      <c r="FJ2" s="248"/>
      <c r="FK2" s="248"/>
      <c r="FL2" s="248"/>
      <c r="FM2" s="248"/>
      <c r="FN2" s="248"/>
      <c r="FO2" s="248"/>
      <c r="FP2" s="248"/>
      <c r="FQ2" s="248"/>
      <c r="FR2" s="248"/>
      <c r="FS2" s="248"/>
      <c r="FT2" s="248"/>
      <c r="FU2" s="248"/>
      <c r="FV2" s="248"/>
      <c r="FW2" s="248"/>
      <c r="FX2" s="248"/>
      <c r="FY2" s="248"/>
      <c r="FZ2" s="248"/>
      <c r="GA2" s="248"/>
      <c r="GB2" s="248"/>
      <c r="GC2" s="248"/>
      <c r="GD2" s="248"/>
      <c r="GE2" s="248"/>
      <c r="GF2" s="248"/>
      <c r="GG2" s="250"/>
      <c r="GH2" s="250"/>
      <c r="GI2" s="250"/>
      <c r="GJ2" s="250"/>
      <c r="GK2" s="250"/>
      <c r="GL2" s="250"/>
      <c r="GM2" s="250"/>
      <c r="GN2" s="250"/>
      <c r="GO2" s="250"/>
      <c r="GP2" s="250"/>
      <c r="GQ2" s="250"/>
      <c r="GR2" s="250"/>
      <c r="GS2" s="250"/>
      <c r="GT2" s="250"/>
      <c r="GU2" s="250"/>
      <c r="GV2" s="250"/>
      <c r="GW2" s="250"/>
      <c r="GX2" s="250"/>
      <c r="GY2" s="250"/>
      <c r="GZ2" s="250"/>
      <c r="HA2" s="250"/>
      <c r="HB2" s="250"/>
      <c r="HC2" s="250"/>
      <c r="HD2" s="250"/>
      <c r="HE2" s="250"/>
      <c r="HF2" s="250"/>
      <c r="HG2" s="250"/>
      <c r="HH2" s="251"/>
      <c r="HI2" s="250"/>
      <c r="HJ2" s="248"/>
      <c r="HK2" s="248"/>
      <c r="HL2" s="248"/>
      <c r="HM2" s="248"/>
      <c r="HN2" s="250"/>
    </row>
  </sheetData>
  <autoFilter ref="A1:HN2" xr:uid="{00000000-0009-0000-0000-000007000000}"/>
  <pageMargins left="0.7" right="0.7" top="0.78740157499999996" bottom="0.78740157499999996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AC1036"/>
  <sheetViews>
    <sheetView workbookViewId="0">
      <selection activeCell="S3" sqref="S3:T22"/>
    </sheetView>
  </sheetViews>
  <sheetFormatPr baseColWidth="10" defaultColWidth="11.42578125" defaultRowHeight="15" x14ac:dyDescent="0.25"/>
  <cols>
    <col min="1" max="6" width="5.85546875" style="45" customWidth="1"/>
    <col min="7" max="7" width="19.85546875" style="45" bestFit="1" customWidth="1"/>
    <col min="8" max="8" width="27" style="45" bestFit="1" customWidth="1"/>
    <col min="9" max="9" width="33.85546875" style="265" customWidth="1"/>
    <col min="10" max="10" width="34.42578125" style="265" customWidth="1"/>
    <col min="11" max="11" width="20" style="45" customWidth="1"/>
    <col min="12" max="12" width="17.85546875" style="45" customWidth="1"/>
    <col min="13" max="13" width="20.85546875" style="45" customWidth="1"/>
    <col min="14" max="14" width="22.28515625" style="265" customWidth="1"/>
    <col min="15" max="15" width="27.5703125" style="265" customWidth="1"/>
    <col min="16" max="16" width="27.140625" style="265" customWidth="1"/>
    <col min="17" max="17" width="19.85546875" style="265" customWidth="1"/>
    <col min="18" max="18" width="19.85546875" style="45" customWidth="1"/>
    <col min="19" max="20" width="19.85546875" style="268" customWidth="1"/>
    <col min="21" max="21" width="30" style="265" customWidth="1"/>
    <col min="22" max="23" width="18.7109375" style="267" customWidth="1"/>
    <col min="24" max="25" width="22.5703125" style="265" customWidth="1"/>
    <col min="26" max="27" width="25.7109375" style="266" customWidth="1"/>
    <col min="28" max="28" width="22.28515625" style="265" customWidth="1"/>
    <col min="29" max="29" width="27.5703125" style="265" customWidth="1"/>
  </cols>
  <sheetData>
    <row r="1" spans="1:29" ht="16.5" thickTop="1" thickBot="1" x14ac:dyDescent="0.3">
      <c r="A1" s="269" t="s">
        <v>310</v>
      </c>
      <c r="B1" s="269" t="s">
        <v>274</v>
      </c>
      <c r="C1" s="269" t="s">
        <v>273</v>
      </c>
      <c r="D1" s="269" t="s">
        <v>272</v>
      </c>
      <c r="E1" s="269" t="s">
        <v>271</v>
      </c>
      <c r="F1" s="269" t="s">
        <v>270</v>
      </c>
      <c r="G1" s="269" t="s">
        <v>293</v>
      </c>
      <c r="H1" s="269" t="s">
        <v>279</v>
      </c>
      <c r="I1" s="269" t="s">
        <v>290</v>
      </c>
      <c r="J1" s="269" t="s">
        <v>260</v>
      </c>
      <c r="K1" s="269" t="s">
        <v>288</v>
      </c>
      <c r="L1" s="269" t="s">
        <v>258</v>
      </c>
      <c r="M1" s="269" t="s">
        <v>257</v>
      </c>
      <c r="N1" s="269" t="s">
        <v>278</v>
      </c>
      <c r="O1" s="269" t="s">
        <v>277</v>
      </c>
      <c r="P1" s="269" t="s">
        <v>286</v>
      </c>
      <c r="Q1" s="269" t="s">
        <v>255</v>
      </c>
      <c r="R1" s="269" t="s">
        <v>284</v>
      </c>
      <c r="S1" s="271" t="s">
        <v>253</v>
      </c>
      <c r="T1" s="271" t="s">
        <v>252</v>
      </c>
      <c r="U1" s="269" t="s">
        <v>276</v>
      </c>
      <c r="V1" s="269" t="s">
        <v>275</v>
      </c>
      <c r="W1" s="269" t="s">
        <v>309</v>
      </c>
      <c r="X1" s="269" t="s">
        <v>308</v>
      </c>
      <c r="Y1" s="269" t="s">
        <v>307</v>
      </c>
      <c r="Z1" s="270" t="s">
        <v>306</v>
      </c>
      <c r="AA1" s="270" t="s">
        <v>305</v>
      </c>
      <c r="AB1" s="269" t="s">
        <v>304</v>
      </c>
      <c r="AC1" s="269" t="s">
        <v>303</v>
      </c>
    </row>
    <row r="2" spans="1:29" s="45" customFormat="1" ht="15.75" thickTop="1" x14ac:dyDescent="0.25">
      <c r="A2" s="45">
        <v>0</v>
      </c>
      <c r="B2" s="45" t="s">
        <v>302</v>
      </c>
      <c r="C2" s="45" t="s">
        <v>302</v>
      </c>
      <c r="D2" s="45" t="s">
        <v>302</v>
      </c>
      <c r="E2" s="45" t="s">
        <v>302</v>
      </c>
      <c r="F2" s="45" t="s">
        <v>302</v>
      </c>
      <c r="G2" s="45" t="s">
        <v>302</v>
      </c>
      <c r="H2" s="45" t="s">
        <v>302</v>
      </c>
      <c r="I2" s="265" t="s">
        <v>302</v>
      </c>
      <c r="J2" s="265" t="s">
        <v>302</v>
      </c>
      <c r="K2" s="45" t="s">
        <v>302</v>
      </c>
      <c r="L2" s="45" t="s">
        <v>302</v>
      </c>
      <c r="M2" s="45" t="s">
        <v>302</v>
      </c>
      <c r="N2" s="265" t="s">
        <v>302</v>
      </c>
      <c r="O2" s="265" t="s">
        <v>302</v>
      </c>
      <c r="P2" s="265" t="s">
        <v>302</v>
      </c>
      <c r="Q2" s="265" t="s">
        <v>302</v>
      </c>
      <c r="R2" s="45" t="s">
        <v>302</v>
      </c>
      <c r="S2" s="268" t="s">
        <v>302</v>
      </c>
      <c r="T2" s="268" t="s">
        <v>302</v>
      </c>
      <c r="U2" s="265" t="s">
        <v>302</v>
      </c>
      <c r="V2" s="267" t="s">
        <v>302</v>
      </c>
      <c r="W2" s="267" t="s">
        <v>302</v>
      </c>
      <c r="X2" s="265" t="s">
        <v>302</v>
      </c>
      <c r="Y2" s="265" t="s">
        <v>302</v>
      </c>
      <c r="Z2" s="266" t="s">
        <v>302</v>
      </c>
      <c r="AA2" s="266" t="s">
        <v>302</v>
      </c>
      <c r="AB2" s="265" t="s">
        <v>302</v>
      </c>
      <c r="AC2" s="265" t="s">
        <v>302</v>
      </c>
    </row>
    <row r="3" spans="1:29" x14ac:dyDescent="0.25">
      <c r="C3" s="243"/>
      <c r="L3" s="243"/>
      <c r="M3" s="243"/>
      <c r="Q3" s="266"/>
      <c r="R3" s="243"/>
      <c r="S3" s="266"/>
      <c r="T3" s="266"/>
    </row>
    <row r="4" spans="1:29" x14ac:dyDescent="0.25">
      <c r="C4" s="243"/>
      <c r="L4" s="243"/>
      <c r="M4" s="243"/>
      <c r="Q4" s="266"/>
      <c r="R4" s="243"/>
      <c r="S4" s="266"/>
      <c r="T4" s="266"/>
    </row>
    <row r="5" spans="1:29" x14ac:dyDescent="0.25">
      <c r="C5" s="243"/>
      <c r="L5" s="243"/>
      <c r="M5" s="243"/>
      <c r="Q5" s="266"/>
      <c r="R5" s="243"/>
      <c r="S5" s="266"/>
      <c r="T5" s="266"/>
    </row>
    <row r="6" spans="1:29" x14ac:dyDescent="0.25">
      <c r="C6" s="243"/>
      <c r="L6" s="243"/>
      <c r="M6" s="243"/>
      <c r="Q6" s="266"/>
      <c r="R6" s="243"/>
      <c r="S6" s="266"/>
      <c r="T6" s="266"/>
    </row>
    <row r="7" spans="1:29" x14ac:dyDescent="0.25">
      <c r="C7" s="243"/>
      <c r="L7" s="243"/>
      <c r="M7" s="243"/>
      <c r="Q7" s="266"/>
      <c r="R7" s="243"/>
      <c r="S7" s="266"/>
      <c r="T7" s="266"/>
    </row>
    <row r="8" spans="1:29" x14ac:dyDescent="0.25">
      <c r="C8" s="243"/>
      <c r="L8" s="243"/>
      <c r="M8" s="243"/>
      <c r="Q8" s="266"/>
      <c r="R8" s="243"/>
      <c r="S8" s="266"/>
      <c r="T8" s="266"/>
    </row>
    <row r="9" spans="1:29" x14ac:dyDescent="0.25">
      <c r="C9" s="243"/>
      <c r="L9" s="243"/>
      <c r="M9" s="243"/>
      <c r="Q9" s="266"/>
      <c r="R9" s="243"/>
      <c r="S9" s="266"/>
      <c r="T9" s="266"/>
    </row>
    <row r="10" spans="1:29" x14ac:dyDescent="0.25">
      <c r="C10" s="243"/>
      <c r="L10" s="243"/>
      <c r="M10" s="243"/>
      <c r="Q10" s="266"/>
      <c r="R10" s="243"/>
      <c r="S10" s="266"/>
      <c r="T10" s="266"/>
    </row>
    <row r="11" spans="1:29" x14ac:dyDescent="0.25">
      <c r="C11" s="243"/>
      <c r="L11" s="243"/>
      <c r="M11" s="243"/>
      <c r="Q11" s="266"/>
      <c r="R11" s="243"/>
      <c r="S11" s="266"/>
      <c r="T11" s="266"/>
    </row>
    <row r="12" spans="1:29" x14ac:dyDescent="0.25">
      <c r="C12" s="243"/>
      <c r="L12" s="243"/>
      <c r="M12" s="243"/>
      <c r="Q12" s="266"/>
      <c r="R12" s="243"/>
      <c r="S12" s="266"/>
      <c r="T12" s="266"/>
    </row>
    <row r="13" spans="1:29" x14ac:dyDescent="0.25">
      <c r="C13" s="243"/>
      <c r="L13" s="243"/>
      <c r="M13" s="243"/>
      <c r="Q13" s="266"/>
      <c r="R13" s="243"/>
      <c r="S13" s="266"/>
      <c r="T13" s="266"/>
    </row>
    <row r="14" spans="1:29" x14ac:dyDescent="0.25">
      <c r="C14" s="243"/>
      <c r="L14" s="243"/>
      <c r="M14" s="243"/>
      <c r="Q14" s="266"/>
      <c r="R14" s="243"/>
      <c r="S14" s="266"/>
      <c r="T14" s="266"/>
    </row>
    <row r="15" spans="1:29" x14ac:dyDescent="0.25">
      <c r="C15" s="243"/>
      <c r="L15" s="243"/>
      <c r="M15" s="243"/>
      <c r="Q15" s="266"/>
      <c r="R15" s="243"/>
      <c r="S15" s="266"/>
      <c r="T15" s="266"/>
    </row>
    <row r="16" spans="1:29" x14ac:dyDescent="0.25">
      <c r="C16" s="243"/>
      <c r="L16" s="243"/>
      <c r="M16" s="243"/>
      <c r="Q16" s="266"/>
      <c r="R16" s="243"/>
      <c r="S16" s="266"/>
      <c r="T16" s="266"/>
    </row>
    <row r="17" spans="1:29" x14ac:dyDescent="0.25">
      <c r="A17"/>
      <c r="B17"/>
      <c r="C17" s="243"/>
      <c r="L17" s="243"/>
      <c r="M17" s="243"/>
      <c r="Q17" s="266"/>
      <c r="R17" s="243"/>
      <c r="S17" s="247"/>
      <c r="T17" s="247"/>
      <c r="U17"/>
      <c r="V17"/>
      <c r="W17"/>
      <c r="X17"/>
      <c r="Y17"/>
      <c r="Z17"/>
      <c r="AA17"/>
      <c r="AB17"/>
      <c r="AC17"/>
    </row>
    <row r="18" spans="1:29" x14ac:dyDescent="0.25">
      <c r="A18"/>
      <c r="B18"/>
      <c r="C18" s="243"/>
      <c r="L18" s="243"/>
      <c r="M18" s="243"/>
      <c r="Q18" s="266"/>
      <c r="R18" s="243"/>
      <c r="S18" s="247"/>
      <c r="T18" s="247"/>
      <c r="U18"/>
      <c r="V18"/>
      <c r="W18"/>
      <c r="X18"/>
      <c r="Y18"/>
      <c r="Z18"/>
      <c r="AA18"/>
      <c r="AB18"/>
      <c r="AC18"/>
    </row>
    <row r="19" spans="1:29" x14ac:dyDescent="0.25">
      <c r="A19"/>
      <c r="B19"/>
      <c r="C19" s="243"/>
      <c r="L19" s="243"/>
      <c r="M19" s="243"/>
      <c r="Q19" s="266"/>
      <c r="R19" s="243"/>
      <c r="S19" s="247"/>
      <c r="T19" s="247"/>
      <c r="U19"/>
      <c r="V19"/>
      <c r="W19"/>
      <c r="X19"/>
      <c r="Y19"/>
      <c r="Z19"/>
      <c r="AA19"/>
      <c r="AB19"/>
      <c r="AC19"/>
    </row>
    <row r="20" spans="1:29" x14ac:dyDescent="0.25">
      <c r="A20"/>
      <c r="B20"/>
      <c r="C20" s="243"/>
      <c r="L20" s="243"/>
      <c r="M20" s="243"/>
      <c r="Q20" s="266"/>
      <c r="R20" s="243"/>
      <c r="S20" s="247"/>
      <c r="T20" s="247"/>
      <c r="U20"/>
      <c r="V20"/>
      <c r="W20"/>
      <c r="X20"/>
      <c r="Y20"/>
      <c r="Z20"/>
      <c r="AA20"/>
      <c r="AB20"/>
      <c r="AC20"/>
    </row>
    <row r="21" spans="1:29" x14ac:dyDescent="0.25">
      <c r="A21"/>
      <c r="B21"/>
      <c r="C21" s="243"/>
      <c r="L21" s="243"/>
      <c r="M21" s="243"/>
      <c r="Q21" s="266"/>
      <c r="R21" s="243"/>
      <c r="S21" s="247"/>
      <c r="T21" s="247"/>
      <c r="U21"/>
      <c r="V21"/>
      <c r="W21"/>
      <c r="X21"/>
      <c r="Y21"/>
      <c r="Z21"/>
      <c r="AA21"/>
      <c r="AB21"/>
      <c r="AC21"/>
    </row>
    <row r="22" spans="1:29" x14ac:dyDescent="0.25">
      <c r="A22"/>
      <c r="B22"/>
      <c r="C22" s="243"/>
      <c r="L22" s="243"/>
      <c r="M22" s="243"/>
      <c r="Q22" s="266"/>
      <c r="R22" s="243"/>
      <c r="S22" s="247"/>
      <c r="T22" s="247"/>
      <c r="U22"/>
      <c r="V22"/>
      <c r="W22"/>
      <c r="X22"/>
      <c r="Y22"/>
      <c r="Z22"/>
      <c r="AA22"/>
      <c r="AB22"/>
      <c r="AC22"/>
    </row>
    <row r="23" spans="1:29" x14ac:dyDescent="0.25">
      <c r="A23"/>
      <c r="B23"/>
      <c r="C23" s="243"/>
      <c r="L23" s="243"/>
      <c r="M23" s="243"/>
      <c r="Q23" s="266"/>
      <c r="R23" s="243"/>
      <c r="S23"/>
      <c r="T23"/>
      <c r="U23"/>
      <c r="V23"/>
      <c r="W23"/>
      <c r="X23"/>
      <c r="Y23"/>
      <c r="Z23"/>
      <c r="AA23"/>
      <c r="AB23"/>
      <c r="AC23"/>
    </row>
    <row r="24" spans="1:29" x14ac:dyDescent="0.25">
      <c r="A24"/>
      <c r="B24"/>
      <c r="C24" s="243"/>
      <c r="L24" s="243"/>
      <c r="M24" s="243"/>
      <c r="Q24" s="266"/>
      <c r="R24" s="243"/>
      <c r="S24"/>
      <c r="T24"/>
      <c r="U24"/>
      <c r="V24"/>
      <c r="W24"/>
      <c r="X24"/>
      <c r="Y24"/>
      <c r="Z24"/>
      <c r="AA24"/>
      <c r="AB24"/>
      <c r="AC24"/>
    </row>
    <row r="25" spans="1:29" x14ac:dyDescent="0.25">
      <c r="A25"/>
      <c r="B25"/>
      <c r="C25" s="243"/>
      <c r="L25" s="243"/>
      <c r="M25" s="243"/>
      <c r="Q25" s="266"/>
      <c r="R25" s="243"/>
      <c r="S25"/>
      <c r="T25"/>
      <c r="U25"/>
      <c r="V25"/>
      <c r="W25"/>
      <c r="X25"/>
      <c r="Y25"/>
      <c r="Z25"/>
      <c r="AA25"/>
      <c r="AB25"/>
      <c r="AC25"/>
    </row>
    <row r="26" spans="1:29" x14ac:dyDescent="0.25">
      <c r="A26"/>
      <c r="B26"/>
      <c r="C26" s="243"/>
      <c r="L26" s="243"/>
      <c r="M26" s="243"/>
      <c r="Q26" s="266"/>
      <c r="R26" s="243"/>
      <c r="S26"/>
      <c r="T26"/>
      <c r="U26"/>
      <c r="V26"/>
      <c r="W26"/>
      <c r="X26"/>
      <c r="Y26"/>
      <c r="Z26"/>
      <c r="AA26"/>
      <c r="AB26"/>
      <c r="AC26"/>
    </row>
    <row r="27" spans="1:29" x14ac:dyDescent="0.25">
      <c r="A27"/>
      <c r="B27"/>
      <c r="C27" s="243"/>
      <c r="L27" s="243"/>
      <c r="M27" s="243"/>
      <c r="Q27" s="266"/>
      <c r="R27" s="243"/>
      <c r="S27"/>
      <c r="T27"/>
      <c r="U27"/>
      <c r="V27"/>
      <c r="W27"/>
      <c r="X27"/>
      <c r="Y27"/>
      <c r="Z27"/>
      <c r="AA27"/>
      <c r="AB27"/>
      <c r="AC27"/>
    </row>
    <row r="28" spans="1:29" x14ac:dyDescent="0.25">
      <c r="A28"/>
      <c r="B28"/>
      <c r="C28" s="243"/>
      <c r="L28" s="243"/>
      <c r="M28" s="243"/>
      <c r="Q28" s="266"/>
      <c r="R28" s="243"/>
      <c r="S28"/>
      <c r="T28"/>
      <c r="U28"/>
      <c r="V28"/>
      <c r="W28"/>
      <c r="X28"/>
      <c r="Y28"/>
      <c r="Z28"/>
      <c r="AA28"/>
      <c r="AB28"/>
      <c r="AC28"/>
    </row>
    <row r="29" spans="1:29" x14ac:dyDescent="0.25">
      <c r="A29"/>
      <c r="B29"/>
      <c r="C29" s="243"/>
      <c r="L29" s="243"/>
      <c r="M29" s="243"/>
      <c r="Q29" s="266"/>
      <c r="R29" s="243"/>
      <c r="S29"/>
      <c r="T29"/>
      <c r="U29"/>
      <c r="V29"/>
      <c r="W29"/>
      <c r="X29"/>
      <c r="Y29"/>
      <c r="Z29"/>
      <c r="AA29"/>
      <c r="AB29"/>
      <c r="AC29"/>
    </row>
    <row r="30" spans="1:29" x14ac:dyDescent="0.25">
      <c r="A30"/>
      <c r="B30"/>
      <c r="C30" s="243"/>
      <c r="L30" s="243"/>
      <c r="M30" s="243"/>
      <c r="Q30" s="266"/>
      <c r="R30" s="243"/>
      <c r="S30"/>
      <c r="T30"/>
      <c r="U30"/>
      <c r="V30"/>
      <c r="W30"/>
      <c r="X30"/>
      <c r="Y30"/>
      <c r="Z30"/>
      <c r="AA30"/>
      <c r="AB30"/>
      <c r="AC30"/>
    </row>
    <row r="31" spans="1:29" x14ac:dyDescent="0.25">
      <c r="A31"/>
      <c r="B31"/>
      <c r="C31" s="243"/>
      <c r="L31" s="243"/>
      <c r="M31" s="243"/>
      <c r="Q31" s="266"/>
      <c r="R31" s="243"/>
      <c r="S31"/>
      <c r="T31"/>
      <c r="U31"/>
      <c r="V31"/>
      <c r="W31"/>
      <c r="X31"/>
      <c r="Y31"/>
      <c r="Z31"/>
      <c r="AA31"/>
      <c r="AB31"/>
      <c r="AC31"/>
    </row>
    <row r="32" spans="1:29" x14ac:dyDescent="0.25">
      <c r="A32"/>
      <c r="B32"/>
      <c r="C32" s="243"/>
      <c r="L32" s="243"/>
      <c r="M32" s="243"/>
      <c r="Q32" s="266"/>
      <c r="R32" s="243"/>
      <c r="S32"/>
      <c r="T32"/>
      <c r="U32"/>
      <c r="V32"/>
      <c r="W32"/>
      <c r="X32"/>
      <c r="Y32"/>
      <c r="Z32"/>
      <c r="AA32"/>
      <c r="AB32"/>
      <c r="AC32"/>
    </row>
    <row r="33" spans="1:29" x14ac:dyDescent="0.25">
      <c r="A33"/>
      <c r="B33"/>
      <c r="C33" s="243"/>
      <c r="L33" s="243"/>
      <c r="M33" s="243"/>
      <c r="Q33" s="266"/>
      <c r="R33" s="243"/>
      <c r="S33"/>
      <c r="T33"/>
      <c r="U33"/>
      <c r="V33"/>
      <c r="W33"/>
      <c r="X33"/>
      <c r="Y33"/>
      <c r="Z33"/>
      <c r="AA33"/>
      <c r="AB33"/>
      <c r="AC33"/>
    </row>
    <row r="34" spans="1:29" x14ac:dyDescent="0.25">
      <c r="A34"/>
      <c r="B34"/>
      <c r="C34" s="243"/>
      <c r="L34" s="243"/>
      <c r="M34" s="243"/>
      <c r="Q34" s="266"/>
      <c r="R34" s="243"/>
      <c r="S34"/>
      <c r="T34"/>
      <c r="U34"/>
      <c r="V34"/>
      <c r="W34"/>
      <c r="X34"/>
      <c r="Y34"/>
      <c r="Z34"/>
      <c r="AA34"/>
      <c r="AB34"/>
      <c r="AC34"/>
    </row>
    <row r="35" spans="1:29" x14ac:dyDescent="0.25">
      <c r="A35"/>
      <c r="B35"/>
      <c r="C35" s="243"/>
      <c r="L35" s="243"/>
      <c r="M35" s="243"/>
      <c r="Q35" s="266"/>
      <c r="R35" s="243"/>
      <c r="S35"/>
      <c r="T35"/>
      <c r="U35"/>
      <c r="V35"/>
      <c r="W35"/>
      <c r="X35"/>
      <c r="Y35"/>
      <c r="Z35"/>
      <c r="AA35"/>
      <c r="AB35"/>
      <c r="AC35"/>
    </row>
    <row r="36" spans="1:29" x14ac:dyDescent="0.25">
      <c r="A36"/>
      <c r="B36"/>
      <c r="C36" s="243"/>
      <c r="L36" s="243"/>
      <c r="M36" s="243"/>
      <c r="Q36" s="266"/>
      <c r="R36" s="243"/>
      <c r="S36"/>
      <c r="T36"/>
      <c r="U36"/>
      <c r="V36"/>
      <c r="W36"/>
      <c r="X36"/>
      <c r="Y36"/>
      <c r="Z36"/>
      <c r="AA36"/>
      <c r="AB36"/>
      <c r="AC36"/>
    </row>
    <row r="37" spans="1:29" x14ac:dyDescent="0.25">
      <c r="A37"/>
      <c r="B37"/>
      <c r="C37" s="243"/>
      <c r="L37" s="243"/>
      <c r="M37" s="243"/>
      <c r="Q37" s="266"/>
      <c r="R37" s="243"/>
      <c r="S37"/>
      <c r="T37"/>
      <c r="U37"/>
      <c r="V37"/>
      <c r="W37"/>
      <c r="X37"/>
      <c r="Y37"/>
      <c r="Z37"/>
      <c r="AA37"/>
      <c r="AB37"/>
      <c r="AC37"/>
    </row>
    <row r="38" spans="1:29" x14ac:dyDescent="0.25">
      <c r="A38"/>
      <c r="B38"/>
      <c r="C38" s="243"/>
      <c r="L38" s="243"/>
      <c r="M38" s="243"/>
      <c r="Q38" s="266"/>
      <c r="R38" s="243"/>
      <c r="S38"/>
      <c r="T38"/>
      <c r="U38"/>
      <c r="V38"/>
      <c r="W38"/>
      <c r="X38"/>
      <c r="Y38"/>
      <c r="Z38"/>
      <c r="AA38"/>
      <c r="AB38"/>
      <c r="AC38"/>
    </row>
    <row r="39" spans="1:29" x14ac:dyDescent="0.25">
      <c r="A39"/>
      <c r="B39"/>
      <c r="C39" s="243"/>
      <c r="L39" s="243"/>
      <c r="M39" s="243"/>
      <c r="Q39" s="266"/>
      <c r="R39" s="243"/>
      <c r="S39"/>
      <c r="T39"/>
      <c r="U39"/>
      <c r="V39"/>
      <c r="W39"/>
      <c r="X39"/>
      <c r="Y39"/>
      <c r="Z39"/>
      <c r="AA39"/>
      <c r="AB39"/>
      <c r="AC39"/>
    </row>
    <row r="40" spans="1:29" x14ac:dyDescent="0.25">
      <c r="A40"/>
      <c r="B40"/>
      <c r="C40" s="243"/>
      <c r="L40" s="243"/>
      <c r="M40" s="243"/>
      <c r="Q40" s="266"/>
      <c r="R40" s="243"/>
      <c r="S40"/>
      <c r="T40"/>
      <c r="U40"/>
      <c r="V40"/>
      <c r="W40"/>
      <c r="X40"/>
      <c r="Y40"/>
      <c r="Z40"/>
      <c r="AA40"/>
      <c r="AB40"/>
      <c r="AC40"/>
    </row>
    <row r="41" spans="1:29" x14ac:dyDescent="0.25">
      <c r="A41"/>
      <c r="B41"/>
      <c r="C41" s="243"/>
      <c r="L41" s="243"/>
      <c r="M41" s="243"/>
      <c r="Q41" s="266"/>
      <c r="R41" s="243"/>
      <c r="S41"/>
      <c r="T41"/>
      <c r="U41"/>
      <c r="V41"/>
      <c r="W41"/>
      <c r="X41"/>
      <c r="Y41"/>
      <c r="Z41"/>
      <c r="AA41"/>
      <c r="AB41"/>
      <c r="AC41"/>
    </row>
    <row r="42" spans="1:29" x14ac:dyDescent="0.25">
      <c r="A42"/>
      <c r="B42"/>
      <c r="C42" s="243"/>
      <c r="L42" s="243"/>
      <c r="M42" s="243"/>
      <c r="Q42" s="266"/>
      <c r="R42" s="243"/>
      <c r="S42"/>
      <c r="T42"/>
      <c r="U42"/>
      <c r="V42"/>
      <c r="W42"/>
      <c r="X42"/>
      <c r="Y42"/>
      <c r="Z42"/>
      <c r="AA42"/>
      <c r="AB42"/>
      <c r="AC42"/>
    </row>
    <row r="43" spans="1:29" x14ac:dyDescent="0.25">
      <c r="A43"/>
      <c r="B43"/>
      <c r="C43" s="243"/>
      <c r="L43" s="243"/>
      <c r="M43" s="243"/>
      <c r="Q43" s="266"/>
      <c r="R43" s="243"/>
      <c r="S43"/>
      <c r="T43"/>
      <c r="U43"/>
      <c r="V43"/>
      <c r="W43"/>
      <c r="X43"/>
      <c r="Y43"/>
      <c r="Z43"/>
      <c r="AA43"/>
      <c r="AB43"/>
      <c r="AC43"/>
    </row>
    <row r="44" spans="1:29" x14ac:dyDescent="0.25">
      <c r="A44"/>
      <c r="B44"/>
      <c r="C44" s="243"/>
      <c r="L44" s="243"/>
      <c r="M44" s="243"/>
      <c r="Q44" s="266"/>
      <c r="R44" s="243"/>
      <c r="S44"/>
      <c r="T44"/>
      <c r="U44"/>
      <c r="V44"/>
      <c r="W44"/>
      <c r="X44"/>
      <c r="Y44"/>
      <c r="Z44"/>
      <c r="AA44"/>
      <c r="AB44"/>
      <c r="AC44"/>
    </row>
    <row r="45" spans="1:29" x14ac:dyDescent="0.25">
      <c r="A45"/>
      <c r="B45"/>
      <c r="C45" s="243"/>
      <c r="L45" s="243"/>
      <c r="M45" s="243"/>
      <c r="Q45" s="266"/>
      <c r="R45" s="243"/>
      <c r="S45"/>
      <c r="T45"/>
      <c r="U45"/>
      <c r="V45"/>
      <c r="W45"/>
      <c r="X45"/>
      <c r="Y45"/>
      <c r="Z45"/>
      <c r="AA45"/>
      <c r="AB45"/>
      <c r="AC45"/>
    </row>
    <row r="46" spans="1:29" x14ac:dyDescent="0.25">
      <c r="A46"/>
      <c r="B46"/>
      <c r="C46" s="243"/>
      <c r="L46" s="243"/>
      <c r="M46" s="243"/>
      <c r="Q46" s="266"/>
      <c r="R46" s="243"/>
      <c r="S46"/>
      <c r="T46"/>
      <c r="U46"/>
      <c r="V46"/>
      <c r="W46"/>
      <c r="X46"/>
      <c r="Y46"/>
      <c r="Z46"/>
      <c r="AA46"/>
      <c r="AB46"/>
      <c r="AC46"/>
    </row>
    <row r="47" spans="1:29" x14ac:dyDescent="0.25">
      <c r="A47"/>
      <c r="B47"/>
      <c r="C47" s="243"/>
      <c r="L47" s="243"/>
      <c r="M47" s="243"/>
      <c r="Q47" s="266"/>
      <c r="R47" s="243"/>
      <c r="S47"/>
      <c r="T47"/>
      <c r="U47"/>
      <c r="V47"/>
      <c r="W47"/>
      <c r="X47"/>
      <c r="Y47"/>
      <c r="Z47"/>
      <c r="AA47"/>
      <c r="AB47"/>
      <c r="AC47"/>
    </row>
    <row r="48" spans="1:29" x14ac:dyDescent="0.25">
      <c r="A48"/>
      <c r="B48"/>
      <c r="C48" s="243"/>
      <c r="L48" s="243"/>
      <c r="M48" s="243"/>
      <c r="Q48" s="266"/>
      <c r="R48" s="243"/>
      <c r="S48"/>
      <c r="T48"/>
      <c r="U48"/>
      <c r="V48"/>
      <c r="W48"/>
      <c r="X48"/>
      <c r="Y48"/>
      <c r="Z48"/>
      <c r="AA48"/>
      <c r="AB48"/>
      <c r="AC48"/>
    </row>
    <row r="49" spans="1:29" x14ac:dyDescent="0.25">
      <c r="A49"/>
      <c r="B49"/>
      <c r="C49" s="243"/>
      <c r="L49" s="243"/>
      <c r="M49" s="243"/>
      <c r="Q49" s="266"/>
      <c r="R49" s="243"/>
      <c r="S49"/>
      <c r="T49"/>
      <c r="U49"/>
      <c r="V49"/>
      <c r="W49"/>
      <c r="X49"/>
      <c r="Y49"/>
      <c r="Z49"/>
      <c r="AA49"/>
      <c r="AB49"/>
      <c r="AC49"/>
    </row>
    <row r="50" spans="1:29" x14ac:dyDescent="0.25">
      <c r="A50"/>
      <c r="B50"/>
      <c r="C50" s="243"/>
      <c r="L50" s="243"/>
      <c r="M50" s="243"/>
      <c r="Q50" s="266"/>
      <c r="R50" s="243"/>
      <c r="S50"/>
      <c r="T50"/>
      <c r="U50"/>
      <c r="V50"/>
      <c r="W50"/>
      <c r="X50"/>
      <c r="Y50"/>
      <c r="Z50"/>
      <c r="AA50"/>
      <c r="AB50"/>
      <c r="AC50"/>
    </row>
    <row r="51" spans="1:29" x14ac:dyDescent="0.25">
      <c r="A51"/>
      <c r="B51"/>
      <c r="C51" s="243"/>
      <c r="L51" s="243"/>
      <c r="M51" s="243"/>
      <c r="Q51" s="266"/>
      <c r="R51" s="243"/>
      <c r="S51"/>
      <c r="T51"/>
      <c r="U51"/>
      <c r="V51"/>
      <c r="W51"/>
      <c r="X51"/>
      <c r="Y51"/>
      <c r="Z51"/>
      <c r="AA51"/>
      <c r="AB51"/>
      <c r="AC51"/>
    </row>
    <row r="52" spans="1:29" x14ac:dyDescent="0.25">
      <c r="A52"/>
      <c r="B52"/>
      <c r="C52" s="243"/>
      <c r="L52" s="243"/>
      <c r="M52" s="243"/>
      <c r="Q52" s="266"/>
      <c r="R52" s="243"/>
      <c r="S52"/>
      <c r="T52"/>
      <c r="U52"/>
      <c r="V52"/>
      <c r="W52"/>
      <c r="X52"/>
      <c r="Y52"/>
      <c r="Z52"/>
      <c r="AA52"/>
      <c r="AB52"/>
      <c r="AC52"/>
    </row>
    <row r="53" spans="1:29" x14ac:dyDescent="0.25">
      <c r="A53"/>
      <c r="B53"/>
      <c r="C53" s="243"/>
      <c r="L53" s="243"/>
      <c r="M53" s="243"/>
      <c r="Q53" s="266"/>
      <c r="R53" s="243"/>
      <c r="S53"/>
      <c r="T53"/>
      <c r="U53"/>
      <c r="V53"/>
      <c r="W53"/>
      <c r="X53"/>
      <c r="Y53"/>
      <c r="Z53"/>
      <c r="AA53"/>
      <c r="AB53"/>
      <c r="AC53"/>
    </row>
    <row r="54" spans="1:29" x14ac:dyDescent="0.25">
      <c r="A54"/>
      <c r="B54"/>
      <c r="C54" s="243"/>
      <c r="L54" s="243"/>
      <c r="M54" s="243"/>
      <c r="Q54" s="266"/>
      <c r="R54" s="243"/>
      <c r="S54"/>
      <c r="T54"/>
      <c r="U54"/>
      <c r="V54"/>
      <c r="W54"/>
      <c r="X54"/>
      <c r="Y54"/>
      <c r="Z54"/>
      <c r="AA54"/>
      <c r="AB54"/>
      <c r="AC54"/>
    </row>
    <row r="55" spans="1:29" x14ac:dyDescent="0.25">
      <c r="A55"/>
      <c r="B55"/>
      <c r="C55" s="243"/>
      <c r="L55" s="243"/>
      <c r="M55" s="243"/>
      <c r="Q55" s="266"/>
      <c r="R55" s="243"/>
      <c r="S55"/>
      <c r="T55"/>
      <c r="U55"/>
      <c r="V55"/>
      <c r="W55"/>
      <c r="X55"/>
      <c r="Y55"/>
      <c r="Z55"/>
      <c r="AA55"/>
      <c r="AB55"/>
      <c r="AC55"/>
    </row>
    <row r="56" spans="1:29" x14ac:dyDescent="0.25">
      <c r="A56"/>
      <c r="B56"/>
      <c r="C56" s="243"/>
      <c r="L56" s="243"/>
      <c r="M56" s="243"/>
      <c r="Q56" s="266"/>
      <c r="R56" s="243"/>
      <c r="S56"/>
      <c r="T56"/>
      <c r="U56"/>
      <c r="V56"/>
      <c r="W56"/>
      <c r="X56"/>
      <c r="Y56"/>
      <c r="Z56"/>
      <c r="AA56"/>
      <c r="AB56"/>
      <c r="AC56"/>
    </row>
    <row r="57" spans="1:29" x14ac:dyDescent="0.25">
      <c r="A57"/>
      <c r="B57"/>
      <c r="C57" s="243"/>
      <c r="L57" s="243"/>
      <c r="M57" s="243"/>
      <c r="Q57" s="266"/>
      <c r="R57" s="243"/>
      <c r="S57"/>
      <c r="T57"/>
      <c r="U57"/>
      <c r="V57"/>
      <c r="W57"/>
      <c r="X57"/>
      <c r="Y57"/>
      <c r="Z57"/>
      <c r="AA57"/>
      <c r="AB57"/>
      <c r="AC57"/>
    </row>
    <row r="58" spans="1:29" x14ac:dyDescent="0.25">
      <c r="A58"/>
      <c r="B58"/>
      <c r="C58" s="243"/>
      <c r="L58" s="243"/>
      <c r="M58" s="243"/>
      <c r="Q58" s="266"/>
      <c r="R58" s="243"/>
      <c r="S58"/>
      <c r="T58"/>
      <c r="U58"/>
      <c r="V58"/>
      <c r="W58"/>
      <c r="X58"/>
      <c r="Y58"/>
      <c r="Z58"/>
      <c r="AA58"/>
      <c r="AB58"/>
      <c r="AC58"/>
    </row>
    <row r="59" spans="1:29" x14ac:dyDescent="0.25">
      <c r="A59"/>
      <c r="B59"/>
      <c r="C59" s="243"/>
      <c r="L59" s="243"/>
      <c r="M59" s="243"/>
      <c r="Q59" s="266"/>
      <c r="R59" s="243"/>
      <c r="S59"/>
      <c r="T59"/>
      <c r="U59"/>
      <c r="V59"/>
      <c r="W59"/>
      <c r="X59"/>
      <c r="Y59"/>
      <c r="Z59"/>
      <c r="AA59"/>
      <c r="AB59"/>
      <c r="AC59"/>
    </row>
    <row r="60" spans="1:29" x14ac:dyDescent="0.25">
      <c r="A60"/>
      <c r="B60"/>
      <c r="C60" s="243"/>
      <c r="L60" s="243"/>
      <c r="M60" s="243"/>
      <c r="Q60" s="266"/>
      <c r="R60" s="243"/>
      <c r="S60"/>
      <c r="T60"/>
      <c r="U60"/>
      <c r="V60"/>
      <c r="W60"/>
      <c r="X60"/>
      <c r="Y60"/>
      <c r="Z60"/>
      <c r="AA60"/>
      <c r="AB60"/>
      <c r="AC60"/>
    </row>
    <row r="61" spans="1:29" x14ac:dyDescent="0.25">
      <c r="A61"/>
      <c r="B61"/>
      <c r="C61" s="243"/>
      <c r="L61" s="243"/>
      <c r="M61" s="243"/>
      <c r="Q61" s="266"/>
      <c r="R61" s="243"/>
      <c r="S61"/>
      <c r="T61"/>
      <c r="U61"/>
      <c r="V61"/>
      <c r="W61"/>
      <c r="X61"/>
      <c r="Y61"/>
      <c r="Z61"/>
      <c r="AA61"/>
      <c r="AB61"/>
      <c r="AC61"/>
    </row>
    <row r="62" spans="1:29" x14ac:dyDescent="0.25">
      <c r="A62"/>
      <c r="B62"/>
      <c r="C62" s="243"/>
      <c r="L62" s="243"/>
      <c r="M62" s="243"/>
      <c r="Q62" s="266"/>
      <c r="R62" s="243"/>
      <c r="S62"/>
      <c r="T62"/>
      <c r="U62"/>
      <c r="V62"/>
      <c r="W62"/>
      <c r="X62"/>
      <c r="Y62"/>
      <c r="Z62"/>
      <c r="AA62"/>
      <c r="AB62"/>
      <c r="AC62"/>
    </row>
    <row r="63" spans="1:29" x14ac:dyDescent="0.25">
      <c r="A63"/>
      <c r="B63"/>
      <c r="C63" s="243"/>
      <c r="L63" s="243"/>
      <c r="M63" s="243"/>
      <c r="Q63" s="266"/>
      <c r="R63" s="243"/>
      <c r="S63"/>
      <c r="T63"/>
      <c r="U63"/>
      <c r="V63"/>
      <c r="W63"/>
      <c r="X63"/>
      <c r="Y63"/>
      <c r="Z63"/>
      <c r="AA63"/>
      <c r="AB63"/>
      <c r="AC63"/>
    </row>
    <row r="64" spans="1:29" x14ac:dyDescent="0.25">
      <c r="A64"/>
      <c r="B64"/>
      <c r="C64" s="243"/>
      <c r="L64" s="243"/>
      <c r="M64" s="243"/>
      <c r="Q64" s="266"/>
      <c r="R64" s="243"/>
      <c r="S64"/>
      <c r="T64"/>
      <c r="U64"/>
      <c r="V64"/>
      <c r="W64"/>
      <c r="X64"/>
      <c r="Y64"/>
      <c r="Z64"/>
      <c r="AA64"/>
      <c r="AB64"/>
      <c r="AC64"/>
    </row>
    <row r="65" spans="1:29" x14ac:dyDescent="0.25">
      <c r="A65"/>
      <c r="B65"/>
      <c r="C65" s="243"/>
      <c r="L65" s="243"/>
      <c r="M65" s="243"/>
      <c r="Q65" s="266"/>
      <c r="R65" s="243"/>
      <c r="S65"/>
      <c r="T65"/>
      <c r="U65"/>
      <c r="V65"/>
      <c r="W65"/>
      <c r="X65"/>
      <c r="Y65"/>
      <c r="Z65"/>
      <c r="AA65"/>
      <c r="AB65"/>
      <c r="AC65"/>
    </row>
    <row r="66" spans="1:29" x14ac:dyDescent="0.25">
      <c r="A66"/>
      <c r="B66"/>
      <c r="C66" s="243"/>
      <c r="L66" s="243"/>
      <c r="M66" s="243"/>
      <c r="Q66" s="266"/>
      <c r="R66" s="243"/>
      <c r="S66"/>
      <c r="T66"/>
      <c r="U66"/>
      <c r="V66"/>
      <c r="W66"/>
      <c r="X66"/>
      <c r="Y66"/>
      <c r="Z66"/>
      <c r="AA66"/>
      <c r="AB66"/>
      <c r="AC66"/>
    </row>
    <row r="67" spans="1:29" x14ac:dyDescent="0.25">
      <c r="A67"/>
      <c r="B67"/>
      <c r="C67" s="243"/>
      <c r="L67" s="243"/>
      <c r="M67" s="243"/>
      <c r="Q67" s="266"/>
      <c r="R67" s="243"/>
      <c r="S67"/>
      <c r="T67"/>
      <c r="U67"/>
      <c r="V67"/>
      <c r="W67"/>
      <c r="X67"/>
      <c r="Y67"/>
      <c r="Z67"/>
      <c r="AA67"/>
      <c r="AB67"/>
      <c r="AC67"/>
    </row>
    <row r="68" spans="1:29" x14ac:dyDescent="0.25">
      <c r="A68"/>
      <c r="B68"/>
      <c r="C68" s="243"/>
      <c r="L68" s="243"/>
      <c r="M68" s="243"/>
      <c r="Q68" s="266"/>
      <c r="R68" s="243"/>
      <c r="S68"/>
      <c r="T68"/>
      <c r="U68"/>
      <c r="V68"/>
      <c r="W68"/>
      <c r="X68"/>
      <c r="Y68"/>
      <c r="Z68"/>
      <c r="AA68"/>
      <c r="AB68"/>
      <c r="AC68"/>
    </row>
    <row r="69" spans="1:29" x14ac:dyDescent="0.25">
      <c r="A69"/>
      <c r="B69"/>
      <c r="C69" s="243"/>
      <c r="L69" s="243"/>
      <c r="M69" s="243"/>
      <c r="Q69" s="266"/>
      <c r="R69" s="243"/>
      <c r="S69"/>
      <c r="T69"/>
      <c r="U69"/>
      <c r="V69"/>
      <c r="W69"/>
      <c r="X69"/>
      <c r="Y69"/>
      <c r="Z69"/>
      <c r="AA69"/>
      <c r="AB69"/>
      <c r="AC69"/>
    </row>
    <row r="70" spans="1:29" x14ac:dyDescent="0.25">
      <c r="A70"/>
      <c r="B70"/>
      <c r="C70" s="243"/>
      <c r="L70" s="243"/>
      <c r="M70" s="243"/>
      <c r="Q70" s="266"/>
      <c r="R70" s="243"/>
      <c r="S70"/>
      <c r="T70"/>
      <c r="U70"/>
      <c r="V70"/>
      <c r="W70"/>
      <c r="X70"/>
      <c r="Y70"/>
      <c r="Z70"/>
      <c r="AA70"/>
      <c r="AB70"/>
      <c r="AC70"/>
    </row>
    <row r="71" spans="1:29" x14ac:dyDescent="0.25">
      <c r="A71"/>
      <c r="B71"/>
      <c r="C71" s="243"/>
      <c r="L71" s="243"/>
      <c r="M71" s="243"/>
      <c r="Q71" s="266"/>
      <c r="R71" s="243"/>
      <c r="S71"/>
      <c r="T71"/>
      <c r="U71"/>
      <c r="V71"/>
      <c r="W71"/>
      <c r="X71"/>
      <c r="Y71"/>
      <c r="Z71"/>
      <c r="AA71"/>
      <c r="AB71"/>
      <c r="AC71"/>
    </row>
    <row r="72" spans="1:29" x14ac:dyDescent="0.25">
      <c r="A72"/>
      <c r="B72"/>
      <c r="C72" s="243"/>
      <c r="L72" s="243"/>
      <c r="M72" s="243"/>
      <c r="Q72" s="266"/>
      <c r="R72" s="243"/>
      <c r="S72"/>
      <c r="T72"/>
      <c r="U72"/>
      <c r="V72"/>
      <c r="W72"/>
      <c r="X72"/>
      <c r="Y72"/>
      <c r="Z72"/>
      <c r="AA72"/>
      <c r="AB72"/>
      <c r="AC72"/>
    </row>
    <row r="73" spans="1:29" x14ac:dyDescent="0.25">
      <c r="A73"/>
      <c r="B73"/>
      <c r="C73" s="243"/>
      <c r="L73" s="243"/>
      <c r="M73" s="243"/>
      <c r="Q73" s="266"/>
      <c r="R73" s="243"/>
      <c r="S73"/>
      <c r="T73"/>
      <c r="U73"/>
      <c r="V73"/>
      <c r="W73"/>
      <c r="X73"/>
      <c r="Y73"/>
      <c r="Z73"/>
      <c r="AA73"/>
      <c r="AB73"/>
      <c r="AC73"/>
    </row>
    <row r="74" spans="1:29" x14ac:dyDescent="0.25">
      <c r="A74"/>
      <c r="B74"/>
      <c r="C74" s="243"/>
      <c r="L74" s="243"/>
      <c r="M74" s="243"/>
      <c r="Q74" s="266"/>
      <c r="R74" s="243"/>
      <c r="S74"/>
      <c r="T74"/>
      <c r="U74"/>
      <c r="V74"/>
      <c r="W74"/>
      <c r="X74"/>
      <c r="Y74"/>
      <c r="Z74"/>
      <c r="AA74"/>
      <c r="AB74"/>
      <c r="AC74"/>
    </row>
    <row r="75" spans="1:29" x14ac:dyDescent="0.25">
      <c r="A75"/>
      <c r="B75"/>
      <c r="C75" s="243"/>
      <c r="L75" s="243"/>
      <c r="M75" s="243"/>
      <c r="Q75" s="266"/>
      <c r="R75" s="243"/>
      <c r="S75"/>
      <c r="T75"/>
      <c r="U75"/>
      <c r="V75"/>
      <c r="W75"/>
      <c r="X75"/>
      <c r="Y75"/>
      <c r="Z75"/>
      <c r="AA75"/>
      <c r="AB75"/>
      <c r="AC75"/>
    </row>
    <row r="76" spans="1:29" x14ac:dyDescent="0.25">
      <c r="A76"/>
      <c r="B76"/>
      <c r="C76" s="243"/>
      <c r="L76" s="243"/>
      <c r="M76" s="243"/>
      <c r="Q76" s="266"/>
      <c r="R76" s="243"/>
      <c r="S76"/>
      <c r="T76"/>
      <c r="U76"/>
      <c r="V76"/>
      <c r="W76"/>
      <c r="X76"/>
      <c r="Y76"/>
      <c r="Z76"/>
      <c r="AA76"/>
      <c r="AB76"/>
      <c r="AC76"/>
    </row>
    <row r="77" spans="1:29" x14ac:dyDescent="0.25">
      <c r="A77"/>
      <c r="B77"/>
      <c r="C77" s="243"/>
      <c r="L77" s="243"/>
      <c r="M77" s="243"/>
      <c r="Q77" s="266"/>
      <c r="R77" s="243"/>
      <c r="S77"/>
      <c r="T77"/>
      <c r="U77"/>
      <c r="V77"/>
      <c r="W77"/>
      <c r="X77"/>
      <c r="Y77"/>
      <c r="Z77"/>
      <c r="AA77"/>
      <c r="AB77"/>
      <c r="AC77"/>
    </row>
    <row r="78" spans="1:29" x14ac:dyDescent="0.25">
      <c r="A78"/>
      <c r="B78"/>
      <c r="C78" s="243"/>
      <c r="L78" s="243"/>
      <c r="M78" s="243"/>
      <c r="Q78" s="266"/>
      <c r="R78" s="243"/>
      <c r="S78"/>
      <c r="T78"/>
      <c r="U78"/>
      <c r="V78"/>
      <c r="W78"/>
      <c r="X78"/>
      <c r="Y78"/>
      <c r="Z78"/>
      <c r="AA78"/>
      <c r="AB78"/>
      <c r="AC78"/>
    </row>
    <row r="79" spans="1:29" x14ac:dyDescent="0.25">
      <c r="A79"/>
      <c r="B79"/>
      <c r="C79" s="243"/>
      <c r="L79" s="243"/>
      <c r="M79" s="243"/>
      <c r="Q79" s="266"/>
      <c r="R79" s="243"/>
      <c r="S79"/>
      <c r="T79"/>
      <c r="U79"/>
      <c r="V79"/>
      <c r="W79"/>
      <c r="X79"/>
      <c r="Y79"/>
      <c r="Z79"/>
      <c r="AA79"/>
      <c r="AB79"/>
      <c r="AC79"/>
    </row>
    <row r="80" spans="1:29" x14ac:dyDescent="0.25">
      <c r="A80"/>
      <c r="B80"/>
      <c r="C80" s="243"/>
      <c r="L80" s="243"/>
      <c r="M80" s="243"/>
      <c r="Q80" s="266"/>
      <c r="R80" s="243"/>
      <c r="S80"/>
      <c r="T80"/>
      <c r="U80"/>
      <c r="V80"/>
      <c r="W80"/>
      <c r="X80"/>
      <c r="Y80"/>
      <c r="Z80"/>
      <c r="AA80"/>
      <c r="AB80"/>
      <c r="AC80"/>
    </row>
    <row r="81" spans="1:29" x14ac:dyDescent="0.25">
      <c r="A81"/>
      <c r="B81"/>
      <c r="C81" s="243"/>
      <c r="L81" s="243"/>
      <c r="M81" s="243"/>
      <c r="Q81" s="266"/>
      <c r="R81" s="243"/>
      <c r="S81"/>
      <c r="T81"/>
      <c r="U81"/>
      <c r="V81"/>
      <c r="W81"/>
      <c r="X81"/>
      <c r="Y81"/>
      <c r="Z81"/>
      <c r="AA81"/>
      <c r="AB81"/>
      <c r="AC81"/>
    </row>
    <row r="82" spans="1:29" x14ac:dyDescent="0.25">
      <c r="A82"/>
      <c r="B82"/>
      <c r="C82" s="243"/>
      <c r="L82" s="243"/>
      <c r="M82" s="243"/>
      <c r="Q82" s="266"/>
      <c r="R82" s="243"/>
      <c r="S82"/>
      <c r="T82"/>
      <c r="U82"/>
      <c r="V82"/>
      <c r="W82"/>
      <c r="X82"/>
      <c r="Y82"/>
      <c r="Z82"/>
      <c r="AA82"/>
      <c r="AB82"/>
      <c r="AC82"/>
    </row>
    <row r="83" spans="1:29" x14ac:dyDescent="0.25">
      <c r="A83"/>
      <c r="B83"/>
      <c r="C83" s="243"/>
      <c r="L83" s="243"/>
      <c r="M83" s="243"/>
      <c r="Q83" s="266"/>
      <c r="R83" s="243"/>
      <c r="S83"/>
      <c r="T83"/>
      <c r="U83"/>
      <c r="V83"/>
      <c r="W83"/>
      <c r="X83"/>
      <c r="Y83"/>
      <c r="Z83"/>
      <c r="AA83"/>
      <c r="AB83"/>
      <c r="AC83"/>
    </row>
    <row r="84" spans="1:29" x14ac:dyDescent="0.25">
      <c r="A84"/>
      <c r="B84"/>
      <c r="C84" s="243"/>
      <c r="L84" s="243"/>
      <c r="M84" s="243"/>
      <c r="Q84" s="266"/>
      <c r="R84" s="243"/>
      <c r="S84"/>
      <c r="T84"/>
      <c r="U84"/>
      <c r="V84"/>
      <c r="W84"/>
      <c r="X84"/>
      <c r="Y84"/>
      <c r="Z84"/>
      <c r="AA84"/>
      <c r="AB84"/>
      <c r="AC84"/>
    </row>
    <row r="85" spans="1:29" x14ac:dyDescent="0.25">
      <c r="A85"/>
      <c r="B85"/>
      <c r="C85" s="243"/>
      <c r="L85" s="243"/>
      <c r="M85" s="243"/>
      <c r="Q85" s="266"/>
      <c r="R85" s="243"/>
      <c r="S85"/>
      <c r="T85"/>
      <c r="U85"/>
      <c r="V85"/>
      <c r="W85"/>
      <c r="X85"/>
      <c r="Y85"/>
      <c r="Z85"/>
      <c r="AA85"/>
      <c r="AB85"/>
      <c r="AC85"/>
    </row>
    <row r="86" spans="1:29" x14ac:dyDescent="0.25">
      <c r="A86"/>
      <c r="B86"/>
      <c r="C86" s="243"/>
      <c r="L86" s="243"/>
      <c r="M86" s="243"/>
      <c r="Q86" s="266"/>
      <c r="R86" s="243"/>
      <c r="S86"/>
      <c r="T86"/>
      <c r="U86"/>
      <c r="V86"/>
      <c r="W86"/>
      <c r="X86"/>
      <c r="Y86"/>
      <c r="Z86"/>
      <c r="AA86"/>
      <c r="AB86"/>
      <c r="AC86"/>
    </row>
    <row r="87" spans="1:29" x14ac:dyDescent="0.25">
      <c r="A87"/>
      <c r="B87"/>
      <c r="C87" s="243"/>
      <c r="L87" s="243"/>
      <c r="M87" s="243"/>
      <c r="Q87" s="266"/>
      <c r="R87" s="243"/>
      <c r="S87"/>
      <c r="T87"/>
      <c r="U87"/>
      <c r="V87"/>
      <c r="W87"/>
      <c r="X87"/>
      <c r="Y87"/>
      <c r="Z87"/>
      <c r="AA87"/>
      <c r="AB87"/>
      <c r="AC87"/>
    </row>
    <row r="88" spans="1:29" x14ac:dyDescent="0.25">
      <c r="A88"/>
      <c r="B88"/>
      <c r="C88" s="243"/>
      <c r="L88" s="243"/>
      <c r="M88" s="243"/>
      <c r="Q88" s="266"/>
      <c r="R88" s="243"/>
      <c r="S88"/>
      <c r="T88"/>
      <c r="U88"/>
      <c r="V88"/>
      <c r="W88"/>
      <c r="X88"/>
      <c r="Y88"/>
      <c r="Z88"/>
      <c r="AA88"/>
      <c r="AB88"/>
      <c r="AC88"/>
    </row>
    <row r="89" spans="1:29" x14ac:dyDescent="0.25">
      <c r="A89"/>
      <c r="B89"/>
      <c r="C89" s="243"/>
      <c r="L89" s="243"/>
      <c r="M89" s="243"/>
      <c r="Q89" s="266"/>
      <c r="R89" s="243"/>
      <c r="S89"/>
      <c r="T89"/>
      <c r="U89"/>
      <c r="V89"/>
      <c r="W89"/>
      <c r="X89"/>
      <c r="Y89"/>
      <c r="Z89"/>
      <c r="AA89"/>
      <c r="AB89"/>
      <c r="AC89"/>
    </row>
    <row r="90" spans="1:29" x14ac:dyDescent="0.25">
      <c r="A90"/>
      <c r="B90"/>
      <c r="C90" s="243"/>
      <c r="L90" s="243"/>
      <c r="M90" s="243"/>
      <c r="Q90" s="266"/>
      <c r="R90" s="243"/>
      <c r="S90"/>
      <c r="T90"/>
      <c r="U90"/>
      <c r="V90"/>
      <c r="W90"/>
      <c r="X90"/>
      <c r="Y90"/>
      <c r="Z90"/>
      <c r="AA90"/>
      <c r="AB90"/>
      <c r="AC90"/>
    </row>
    <row r="91" spans="1:29" x14ac:dyDescent="0.25">
      <c r="A91"/>
      <c r="B91"/>
      <c r="C91" s="243"/>
      <c r="L91" s="243"/>
      <c r="M91" s="243"/>
      <c r="Q91" s="266"/>
      <c r="R91" s="243"/>
      <c r="S91"/>
      <c r="T91"/>
      <c r="U91"/>
      <c r="V91"/>
      <c r="W91"/>
      <c r="X91"/>
      <c r="Y91"/>
      <c r="Z91"/>
      <c r="AA91"/>
      <c r="AB91"/>
      <c r="AC91"/>
    </row>
    <row r="92" spans="1:29" x14ac:dyDescent="0.25">
      <c r="A92"/>
      <c r="B92"/>
      <c r="C92" s="243"/>
      <c r="L92" s="243"/>
      <c r="M92" s="243"/>
      <c r="Q92" s="266"/>
      <c r="R92" s="243"/>
      <c r="S92"/>
      <c r="T92"/>
      <c r="U92"/>
      <c r="V92"/>
      <c r="W92"/>
      <c r="X92"/>
      <c r="Y92"/>
      <c r="Z92"/>
      <c r="AA92"/>
      <c r="AB92"/>
      <c r="AC92"/>
    </row>
    <row r="93" spans="1:29" x14ac:dyDescent="0.25">
      <c r="A93"/>
      <c r="B93"/>
      <c r="C93" s="243"/>
      <c r="L93" s="243"/>
      <c r="M93" s="243"/>
      <c r="Q93" s="266"/>
      <c r="R93" s="243"/>
      <c r="S93"/>
      <c r="T93"/>
      <c r="U93"/>
      <c r="V93"/>
      <c r="W93"/>
      <c r="X93"/>
      <c r="Y93"/>
      <c r="Z93"/>
      <c r="AA93"/>
      <c r="AB93"/>
      <c r="AC93"/>
    </row>
    <row r="94" spans="1:29" x14ac:dyDescent="0.25">
      <c r="A94"/>
      <c r="B94"/>
      <c r="C94" s="243"/>
      <c r="L94" s="243"/>
      <c r="M94" s="243"/>
      <c r="Q94" s="266"/>
      <c r="R94" s="243"/>
      <c r="S94"/>
      <c r="T94"/>
      <c r="U94"/>
      <c r="V94"/>
      <c r="W94"/>
      <c r="X94"/>
      <c r="Y94"/>
      <c r="Z94"/>
      <c r="AA94"/>
      <c r="AB94"/>
      <c r="AC94"/>
    </row>
    <row r="95" spans="1:29" x14ac:dyDescent="0.25">
      <c r="A95"/>
      <c r="B95"/>
      <c r="C95" s="243"/>
      <c r="L95" s="243"/>
      <c r="M95" s="243"/>
      <c r="Q95" s="266"/>
      <c r="R95" s="243"/>
      <c r="S95"/>
      <c r="T95"/>
      <c r="U95"/>
      <c r="V95"/>
      <c r="W95"/>
      <c r="X95"/>
      <c r="Y95"/>
      <c r="Z95"/>
      <c r="AA95"/>
      <c r="AB95"/>
      <c r="AC95"/>
    </row>
    <row r="96" spans="1:29" x14ac:dyDescent="0.25">
      <c r="A96"/>
      <c r="B96"/>
      <c r="C96" s="243"/>
      <c r="L96" s="243"/>
      <c r="M96" s="243"/>
      <c r="Q96" s="266"/>
      <c r="R96" s="243"/>
      <c r="S96"/>
      <c r="T96"/>
      <c r="U96"/>
      <c r="V96"/>
      <c r="W96"/>
      <c r="X96"/>
      <c r="Y96"/>
      <c r="Z96"/>
      <c r="AA96"/>
      <c r="AB96"/>
      <c r="AC96"/>
    </row>
    <row r="97" spans="3:18" customFormat="1" x14ac:dyDescent="0.25">
      <c r="C97" s="243"/>
      <c r="D97" s="45"/>
      <c r="E97" s="45"/>
      <c r="F97" s="45"/>
      <c r="G97" s="45"/>
      <c r="H97" s="45"/>
      <c r="I97" s="265"/>
      <c r="J97" s="265"/>
      <c r="K97" s="45"/>
      <c r="L97" s="243"/>
      <c r="M97" s="243"/>
      <c r="N97" s="265"/>
      <c r="O97" s="265"/>
      <c r="P97" s="265"/>
      <c r="Q97" s="266"/>
      <c r="R97" s="243"/>
    </row>
    <row r="98" spans="3:18" customFormat="1" x14ac:dyDescent="0.25">
      <c r="C98" s="243"/>
      <c r="D98" s="45"/>
      <c r="E98" s="45"/>
      <c r="F98" s="45"/>
      <c r="G98" s="45"/>
      <c r="H98" s="45"/>
      <c r="I98" s="265"/>
      <c r="J98" s="265"/>
      <c r="K98" s="45"/>
      <c r="L98" s="243"/>
      <c r="M98" s="243"/>
      <c r="N98" s="265"/>
      <c r="O98" s="265"/>
      <c r="P98" s="265"/>
      <c r="Q98" s="266"/>
      <c r="R98" s="243"/>
    </row>
    <row r="99" spans="3:18" customFormat="1" x14ac:dyDescent="0.25">
      <c r="C99" s="243"/>
      <c r="D99" s="45"/>
      <c r="E99" s="45"/>
      <c r="F99" s="45"/>
      <c r="G99" s="45"/>
      <c r="H99" s="45"/>
      <c r="I99" s="265"/>
      <c r="J99" s="265"/>
      <c r="K99" s="45"/>
      <c r="L99" s="243"/>
      <c r="M99" s="243"/>
      <c r="N99" s="265"/>
      <c r="O99" s="265"/>
      <c r="P99" s="265"/>
      <c r="Q99" s="266"/>
      <c r="R99" s="243"/>
    </row>
    <row r="100" spans="3:18" customFormat="1" x14ac:dyDescent="0.25">
      <c r="C100" s="243"/>
      <c r="D100" s="45"/>
      <c r="E100" s="45"/>
      <c r="F100" s="45"/>
      <c r="G100" s="45"/>
      <c r="H100" s="45"/>
      <c r="I100" s="265"/>
      <c r="J100" s="265"/>
      <c r="K100" s="45"/>
      <c r="L100" s="243"/>
      <c r="M100" s="243"/>
      <c r="N100" s="265"/>
      <c r="O100" s="265"/>
      <c r="P100" s="265"/>
      <c r="Q100" s="266"/>
      <c r="R100" s="243"/>
    </row>
    <row r="101" spans="3:18" customFormat="1" x14ac:dyDescent="0.25">
      <c r="C101" s="243"/>
      <c r="D101" s="45"/>
      <c r="E101" s="45"/>
      <c r="F101" s="45"/>
      <c r="G101" s="45"/>
      <c r="H101" s="45"/>
      <c r="I101" s="265"/>
      <c r="J101" s="265"/>
      <c r="K101" s="45"/>
      <c r="L101" s="243"/>
      <c r="M101" s="243"/>
      <c r="N101" s="265"/>
      <c r="O101" s="265"/>
      <c r="P101" s="265"/>
      <c r="Q101" s="266"/>
      <c r="R101" s="243"/>
    </row>
    <row r="102" spans="3:18" customFormat="1" x14ac:dyDescent="0.25">
      <c r="C102" s="243"/>
      <c r="D102" s="45"/>
      <c r="E102" s="45"/>
      <c r="F102" s="45"/>
      <c r="G102" s="45"/>
      <c r="H102" s="45"/>
      <c r="I102" s="265"/>
      <c r="J102" s="265"/>
      <c r="K102" s="45"/>
      <c r="L102" s="243"/>
      <c r="M102" s="243"/>
      <c r="N102" s="265"/>
      <c r="O102" s="265"/>
      <c r="P102" s="265"/>
      <c r="Q102" s="266"/>
      <c r="R102" s="243"/>
    </row>
    <row r="103" spans="3:18" customFormat="1" x14ac:dyDescent="0.25">
      <c r="C103" s="243"/>
      <c r="D103" s="45"/>
      <c r="E103" s="45"/>
      <c r="F103" s="45"/>
      <c r="G103" s="45"/>
      <c r="H103" s="45"/>
      <c r="I103" s="265"/>
      <c r="J103" s="265"/>
      <c r="K103" s="45"/>
      <c r="L103" s="243"/>
      <c r="M103" s="243"/>
      <c r="N103" s="265"/>
      <c r="O103" s="265"/>
      <c r="P103" s="265"/>
      <c r="Q103" s="266"/>
      <c r="R103" s="243"/>
    </row>
    <row r="104" spans="3:18" customFormat="1" x14ac:dyDescent="0.25">
      <c r="C104" s="243"/>
      <c r="D104" s="45"/>
      <c r="E104" s="45"/>
      <c r="F104" s="45"/>
      <c r="G104" s="45"/>
      <c r="H104" s="45"/>
      <c r="I104" s="265"/>
      <c r="J104" s="265"/>
      <c r="K104" s="45"/>
      <c r="L104" s="243"/>
      <c r="M104" s="243"/>
      <c r="N104" s="265"/>
      <c r="O104" s="265"/>
      <c r="P104" s="265"/>
      <c r="Q104" s="266"/>
      <c r="R104" s="243"/>
    </row>
    <row r="105" spans="3:18" customFormat="1" x14ac:dyDescent="0.25">
      <c r="C105" s="243"/>
      <c r="D105" s="45"/>
      <c r="E105" s="45"/>
      <c r="F105" s="45"/>
      <c r="G105" s="45"/>
      <c r="H105" s="45"/>
      <c r="I105" s="265"/>
      <c r="J105" s="265"/>
      <c r="K105" s="45"/>
      <c r="L105" s="243"/>
      <c r="M105" s="243"/>
      <c r="N105" s="265"/>
      <c r="O105" s="265"/>
      <c r="P105" s="265"/>
      <c r="Q105" s="266"/>
      <c r="R105" s="243"/>
    </row>
    <row r="106" spans="3:18" customFormat="1" x14ac:dyDescent="0.25">
      <c r="C106" s="243"/>
      <c r="D106" s="45"/>
      <c r="E106" s="45"/>
      <c r="F106" s="45"/>
      <c r="G106" s="45"/>
      <c r="H106" s="45"/>
      <c r="I106" s="265"/>
      <c r="J106" s="265"/>
      <c r="K106" s="45"/>
      <c r="L106" s="243"/>
      <c r="M106" s="243"/>
      <c r="N106" s="265"/>
      <c r="O106" s="265"/>
      <c r="P106" s="265"/>
      <c r="Q106" s="266"/>
      <c r="R106" s="243"/>
    </row>
    <row r="107" spans="3:18" customFormat="1" x14ac:dyDescent="0.25">
      <c r="C107" s="243"/>
      <c r="D107" s="45"/>
      <c r="E107" s="45"/>
      <c r="F107" s="45"/>
      <c r="G107" s="45"/>
      <c r="H107" s="45"/>
      <c r="I107" s="265"/>
      <c r="J107" s="265"/>
      <c r="K107" s="45"/>
      <c r="L107" s="243"/>
      <c r="M107" s="243"/>
      <c r="N107" s="265"/>
      <c r="O107" s="265"/>
      <c r="P107" s="265"/>
      <c r="Q107" s="266"/>
      <c r="R107" s="243"/>
    </row>
    <row r="108" spans="3:18" customFormat="1" x14ac:dyDescent="0.25">
      <c r="C108" s="243"/>
      <c r="D108" s="45"/>
      <c r="E108" s="45"/>
      <c r="F108" s="45"/>
      <c r="G108" s="45"/>
      <c r="H108" s="45"/>
      <c r="I108" s="265"/>
      <c r="J108" s="265"/>
      <c r="K108" s="45"/>
      <c r="L108" s="243"/>
      <c r="M108" s="243"/>
      <c r="N108" s="265"/>
      <c r="O108" s="265"/>
      <c r="P108" s="265"/>
      <c r="Q108" s="266"/>
      <c r="R108" s="243"/>
    </row>
    <row r="109" spans="3:18" customFormat="1" x14ac:dyDescent="0.25">
      <c r="C109" s="243"/>
      <c r="D109" s="45"/>
      <c r="E109" s="45"/>
      <c r="F109" s="45"/>
      <c r="G109" s="45"/>
      <c r="H109" s="45"/>
      <c r="I109" s="265"/>
      <c r="J109" s="265"/>
      <c r="K109" s="45"/>
      <c r="L109" s="243"/>
      <c r="M109" s="243"/>
      <c r="N109" s="265"/>
      <c r="O109" s="265"/>
      <c r="P109" s="265"/>
      <c r="Q109" s="266"/>
      <c r="R109" s="243"/>
    </row>
    <row r="110" spans="3:18" customFormat="1" x14ac:dyDescent="0.25">
      <c r="C110" s="243"/>
      <c r="D110" s="45"/>
      <c r="E110" s="45"/>
      <c r="F110" s="45"/>
      <c r="G110" s="45"/>
      <c r="H110" s="45"/>
      <c r="I110" s="265"/>
      <c r="J110" s="265"/>
      <c r="K110" s="45"/>
      <c r="L110" s="243"/>
      <c r="M110" s="243"/>
      <c r="N110" s="265"/>
      <c r="O110" s="265"/>
      <c r="P110" s="265"/>
      <c r="Q110" s="266"/>
      <c r="R110" s="243"/>
    </row>
    <row r="111" spans="3:18" customFormat="1" x14ac:dyDescent="0.25">
      <c r="C111" s="243"/>
      <c r="D111" s="45"/>
      <c r="E111" s="45"/>
      <c r="F111" s="45"/>
      <c r="G111" s="45"/>
      <c r="H111" s="45"/>
      <c r="I111" s="265"/>
      <c r="J111" s="265"/>
      <c r="K111" s="45"/>
      <c r="L111" s="243"/>
      <c r="M111" s="243"/>
      <c r="N111" s="265"/>
      <c r="O111" s="265"/>
      <c r="P111" s="265"/>
      <c r="Q111" s="266"/>
      <c r="R111" s="243"/>
    </row>
    <row r="112" spans="3:18" customFormat="1" x14ac:dyDescent="0.25">
      <c r="C112" s="243"/>
      <c r="D112" s="45"/>
      <c r="E112" s="45"/>
      <c r="F112" s="45"/>
      <c r="G112" s="45"/>
      <c r="H112" s="45"/>
      <c r="I112" s="265"/>
      <c r="J112" s="265"/>
      <c r="K112" s="45"/>
      <c r="L112" s="243"/>
      <c r="M112" s="243"/>
      <c r="N112" s="265"/>
      <c r="O112" s="265"/>
      <c r="P112" s="265"/>
      <c r="Q112" s="266"/>
      <c r="R112" s="243"/>
    </row>
    <row r="113" spans="3:18" customFormat="1" x14ac:dyDescent="0.25">
      <c r="C113" s="243"/>
      <c r="D113" s="45"/>
      <c r="E113" s="45"/>
      <c r="F113" s="45"/>
      <c r="G113" s="45"/>
      <c r="H113" s="45"/>
      <c r="I113" s="265"/>
      <c r="J113" s="265"/>
      <c r="K113" s="45"/>
      <c r="L113" s="243"/>
      <c r="M113" s="243"/>
      <c r="N113" s="265"/>
      <c r="O113" s="265"/>
      <c r="P113" s="265"/>
      <c r="Q113" s="266"/>
      <c r="R113" s="243"/>
    </row>
    <row r="114" spans="3:18" customFormat="1" x14ac:dyDescent="0.25">
      <c r="C114" s="243"/>
      <c r="D114" s="45"/>
      <c r="E114" s="45"/>
      <c r="F114" s="45"/>
      <c r="G114" s="45"/>
      <c r="H114" s="45"/>
      <c r="I114" s="265"/>
      <c r="J114" s="265"/>
      <c r="K114" s="45"/>
      <c r="L114" s="243"/>
      <c r="M114" s="243"/>
      <c r="N114" s="265"/>
      <c r="O114" s="265"/>
      <c r="P114" s="265"/>
      <c r="Q114" s="266"/>
      <c r="R114" s="243"/>
    </row>
    <row r="115" spans="3:18" customFormat="1" x14ac:dyDescent="0.25">
      <c r="C115" s="243"/>
      <c r="D115" s="45"/>
      <c r="E115" s="45"/>
      <c r="F115" s="45"/>
      <c r="G115" s="45"/>
      <c r="H115" s="45"/>
      <c r="I115" s="265"/>
      <c r="J115" s="265"/>
      <c r="K115" s="45"/>
      <c r="L115" s="243"/>
      <c r="M115" s="243"/>
      <c r="N115" s="265"/>
      <c r="O115" s="265"/>
      <c r="P115" s="265"/>
      <c r="Q115" s="266"/>
      <c r="R115" s="243"/>
    </row>
    <row r="116" spans="3:18" customFormat="1" x14ac:dyDescent="0.25">
      <c r="C116" s="243"/>
      <c r="D116" s="45"/>
      <c r="E116" s="45"/>
      <c r="F116" s="45"/>
      <c r="G116" s="45"/>
      <c r="H116" s="45"/>
      <c r="I116" s="265"/>
      <c r="J116" s="265"/>
      <c r="K116" s="45"/>
      <c r="L116" s="243"/>
      <c r="M116" s="243"/>
      <c r="N116" s="265"/>
      <c r="O116" s="265"/>
      <c r="P116" s="265"/>
      <c r="Q116" s="266"/>
      <c r="R116" s="243"/>
    </row>
    <row r="117" spans="3:18" customFormat="1" x14ac:dyDescent="0.25">
      <c r="C117" s="243"/>
      <c r="D117" s="45"/>
      <c r="E117" s="45"/>
      <c r="F117" s="45"/>
      <c r="G117" s="45"/>
      <c r="H117" s="45"/>
      <c r="I117" s="265"/>
      <c r="J117" s="265"/>
      <c r="K117" s="45"/>
      <c r="L117" s="243"/>
      <c r="M117" s="243"/>
      <c r="N117" s="265"/>
      <c r="O117" s="265"/>
      <c r="P117" s="265"/>
      <c r="Q117" s="266"/>
      <c r="R117" s="243"/>
    </row>
    <row r="118" spans="3:18" customFormat="1" x14ac:dyDescent="0.25">
      <c r="C118" s="243"/>
      <c r="D118" s="45"/>
      <c r="E118" s="45"/>
      <c r="F118" s="45"/>
      <c r="G118" s="45"/>
      <c r="H118" s="45"/>
      <c r="I118" s="265"/>
      <c r="J118" s="265"/>
      <c r="K118" s="45"/>
      <c r="L118" s="243"/>
      <c r="M118" s="243"/>
      <c r="N118" s="265"/>
      <c r="O118" s="265"/>
      <c r="P118" s="265"/>
      <c r="Q118" s="266"/>
      <c r="R118" s="243"/>
    </row>
    <row r="119" spans="3:18" customFormat="1" x14ac:dyDescent="0.25">
      <c r="C119" s="243"/>
      <c r="D119" s="45"/>
      <c r="E119" s="45"/>
      <c r="F119" s="45"/>
      <c r="G119" s="45"/>
      <c r="H119" s="45"/>
      <c r="I119" s="265"/>
      <c r="J119" s="265"/>
      <c r="K119" s="45"/>
      <c r="L119" s="243"/>
      <c r="M119" s="243"/>
      <c r="N119" s="265"/>
      <c r="O119" s="265"/>
      <c r="P119" s="265"/>
      <c r="Q119" s="266"/>
      <c r="R119" s="243"/>
    </row>
    <row r="120" spans="3:18" customFormat="1" x14ac:dyDescent="0.25">
      <c r="C120" s="243"/>
      <c r="D120" s="45"/>
      <c r="E120" s="45"/>
      <c r="F120" s="45"/>
      <c r="G120" s="45"/>
      <c r="H120" s="45"/>
      <c r="I120" s="265"/>
      <c r="J120" s="265"/>
      <c r="K120" s="45"/>
      <c r="L120" s="243"/>
      <c r="M120" s="243"/>
      <c r="N120" s="265"/>
      <c r="O120" s="265"/>
      <c r="P120" s="265"/>
      <c r="Q120" s="266"/>
      <c r="R120" s="243"/>
    </row>
    <row r="121" spans="3:18" customFormat="1" x14ac:dyDescent="0.25">
      <c r="C121" s="243"/>
      <c r="D121" s="45"/>
      <c r="E121" s="45"/>
      <c r="F121" s="45"/>
      <c r="G121" s="45"/>
      <c r="H121" s="45"/>
      <c r="I121" s="265"/>
      <c r="J121" s="265"/>
      <c r="K121" s="45"/>
      <c r="L121" s="243"/>
      <c r="M121" s="243"/>
      <c r="N121" s="265"/>
      <c r="O121" s="265"/>
      <c r="P121" s="265"/>
      <c r="Q121" s="266"/>
      <c r="R121" s="243"/>
    </row>
    <row r="122" spans="3:18" customFormat="1" x14ac:dyDescent="0.25">
      <c r="C122" s="243"/>
      <c r="D122" s="45"/>
      <c r="E122" s="45"/>
      <c r="F122" s="45"/>
      <c r="G122" s="45"/>
      <c r="H122" s="45"/>
      <c r="I122" s="265"/>
      <c r="J122" s="265"/>
      <c r="K122" s="45"/>
      <c r="L122" s="243"/>
      <c r="M122" s="243"/>
      <c r="N122" s="265"/>
      <c r="O122" s="265"/>
      <c r="P122" s="265"/>
      <c r="Q122" s="266"/>
      <c r="R122" s="243"/>
    </row>
    <row r="123" spans="3:18" customFormat="1" x14ac:dyDescent="0.25">
      <c r="C123" s="243"/>
      <c r="D123" s="45"/>
      <c r="E123" s="45"/>
      <c r="F123" s="45"/>
      <c r="G123" s="45"/>
      <c r="H123" s="45"/>
      <c r="I123" s="265"/>
      <c r="J123" s="265"/>
      <c r="K123" s="45"/>
      <c r="L123" s="243"/>
      <c r="M123" s="243"/>
      <c r="N123" s="265"/>
      <c r="O123" s="265"/>
      <c r="P123" s="265"/>
      <c r="Q123" s="266"/>
      <c r="R123" s="243"/>
    </row>
    <row r="124" spans="3:18" customFormat="1" x14ac:dyDescent="0.25">
      <c r="C124" s="243"/>
      <c r="D124" s="45"/>
      <c r="E124" s="45"/>
      <c r="F124" s="45"/>
      <c r="G124" s="45"/>
      <c r="H124" s="45"/>
      <c r="I124" s="265"/>
      <c r="J124" s="265"/>
      <c r="K124" s="45"/>
      <c r="L124" s="243"/>
      <c r="M124" s="243"/>
      <c r="N124" s="265"/>
      <c r="O124" s="265"/>
      <c r="P124" s="265"/>
      <c r="Q124" s="266"/>
      <c r="R124" s="243"/>
    </row>
    <row r="125" spans="3:18" customFormat="1" x14ac:dyDescent="0.25">
      <c r="C125" s="243"/>
      <c r="D125" s="45"/>
      <c r="E125" s="45"/>
      <c r="F125" s="45"/>
      <c r="G125" s="45"/>
      <c r="H125" s="45"/>
      <c r="I125" s="265"/>
      <c r="J125" s="265"/>
      <c r="K125" s="45"/>
      <c r="L125" s="243"/>
      <c r="M125" s="243"/>
      <c r="N125" s="265"/>
      <c r="O125" s="265"/>
      <c r="P125" s="265"/>
      <c r="Q125" s="266"/>
      <c r="R125" s="243"/>
    </row>
    <row r="126" spans="3:18" customFormat="1" x14ac:dyDescent="0.25">
      <c r="C126" s="243"/>
      <c r="D126" s="45"/>
      <c r="E126" s="45"/>
      <c r="F126" s="45"/>
      <c r="G126" s="45"/>
      <c r="H126" s="45"/>
      <c r="I126" s="265"/>
      <c r="J126" s="265"/>
      <c r="K126" s="45"/>
      <c r="L126" s="243"/>
      <c r="M126" s="243"/>
      <c r="N126" s="265"/>
      <c r="O126" s="265"/>
      <c r="P126" s="265"/>
      <c r="Q126" s="266"/>
      <c r="R126" s="243"/>
    </row>
    <row r="127" spans="3:18" customFormat="1" x14ac:dyDescent="0.25">
      <c r="C127" s="243"/>
      <c r="D127" s="45"/>
      <c r="E127" s="45"/>
      <c r="F127" s="45"/>
      <c r="G127" s="45"/>
      <c r="H127" s="45"/>
      <c r="I127" s="265"/>
      <c r="J127" s="265"/>
      <c r="K127" s="45"/>
      <c r="L127" s="243"/>
      <c r="M127" s="243"/>
      <c r="N127" s="265"/>
      <c r="O127" s="265"/>
      <c r="P127" s="265"/>
      <c r="Q127" s="266"/>
      <c r="R127" s="243"/>
    </row>
    <row r="128" spans="3:18" customFormat="1" x14ac:dyDescent="0.25">
      <c r="C128" s="243"/>
      <c r="D128" s="45"/>
      <c r="E128" s="45"/>
      <c r="F128" s="45"/>
      <c r="G128" s="45"/>
      <c r="H128" s="45"/>
      <c r="I128" s="265"/>
      <c r="J128" s="265"/>
      <c r="K128" s="45"/>
      <c r="L128" s="243"/>
      <c r="M128" s="243"/>
      <c r="N128" s="265"/>
      <c r="O128" s="265"/>
      <c r="P128" s="265"/>
      <c r="Q128" s="266"/>
      <c r="R128" s="243"/>
    </row>
    <row r="129" spans="3:18" customFormat="1" x14ac:dyDescent="0.25">
      <c r="C129" s="243"/>
      <c r="D129" s="45"/>
      <c r="E129" s="45"/>
      <c r="F129" s="45"/>
      <c r="G129" s="45"/>
      <c r="H129" s="45"/>
      <c r="I129" s="265"/>
      <c r="J129" s="265"/>
      <c r="K129" s="45"/>
      <c r="L129" s="243"/>
      <c r="M129" s="243"/>
      <c r="N129" s="265"/>
      <c r="O129" s="265"/>
      <c r="P129" s="265"/>
      <c r="Q129" s="266"/>
      <c r="R129" s="243"/>
    </row>
    <row r="130" spans="3:18" customFormat="1" x14ac:dyDescent="0.25">
      <c r="C130" s="243"/>
      <c r="D130" s="45"/>
      <c r="E130" s="45"/>
      <c r="F130" s="45"/>
      <c r="G130" s="45"/>
      <c r="H130" s="45"/>
      <c r="I130" s="265"/>
      <c r="J130" s="265"/>
      <c r="K130" s="45"/>
      <c r="L130" s="243"/>
      <c r="M130" s="243"/>
      <c r="N130" s="265"/>
      <c r="O130" s="265"/>
      <c r="P130" s="265"/>
      <c r="Q130" s="266"/>
      <c r="R130" s="243"/>
    </row>
    <row r="131" spans="3:18" customFormat="1" x14ac:dyDescent="0.25">
      <c r="C131" s="243"/>
      <c r="D131" s="45"/>
      <c r="E131" s="45"/>
      <c r="F131" s="45"/>
      <c r="G131" s="45"/>
      <c r="H131" s="45"/>
      <c r="I131" s="265"/>
      <c r="J131" s="265"/>
      <c r="K131" s="45"/>
      <c r="L131" s="243"/>
      <c r="M131" s="243"/>
      <c r="N131" s="265"/>
      <c r="O131" s="265"/>
      <c r="P131" s="265"/>
      <c r="Q131" s="266"/>
      <c r="R131" s="243"/>
    </row>
    <row r="132" spans="3:18" customFormat="1" x14ac:dyDescent="0.25">
      <c r="C132" s="243"/>
      <c r="D132" s="45"/>
      <c r="E132" s="45"/>
      <c r="F132" s="45"/>
      <c r="G132" s="45"/>
      <c r="H132" s="45"/>
      <c r="I132" s="265"/>
      <c r="J132" s="265"/>
      <c r="K132" s="45"/>
      <c r="L132" s="243"/>
      <c r="M132" s="243"/>
      <c r="N132" s="265"/>
      <c r="O132" s="265"/>
      <c r="P132" s="265"/>
      <c r="Q132" s="266"/>
      <c r="R132" s="243"/>
    </row>
    <row r="133" spans="3:18" customFormat="1" x14ac:dyDescent="0.25">
      <c r="C133" s="243"/>
      <c r="D133" s="45"/>
      <c r="E133" s="45"/>
      <c r="F133" s="45"/>
      <c r="G133" s="45"/>
      <c r="H133" s="45"/>
      <c r="I133" s="265"/>
      <c r="J133" s="265"/>
      <c r="K133" s="45"/>
      <c r="L133" s="243"/>
      <c r="M133" s="243"/>
      <c r="N133" s="265"/>
      <c r="O133" s="265"/>
      <c r="P133" s="265"/>
      <c r="Q133" s="266"/>
      <c r="R133" s="243"/>
    </row>
    <row r="134" spans="3:18" customFormat="1" x14ac:dyDescent="0.25">
      <c r="C134" s="243"/>
      <c r="D134" s="45"/>
      <c r="E134" s="45"/>
      <c r="F134" s="45"/>
      <c r="G134" s="45"/>
      <c r="H134" s="45"/>
      <c r="I134" s="265"/>
      <c r="J134" s="265"/>
      <c r="K134" s="45"/>
      <c r="L134" s="243"/>
      <c r="M134" s="243"/>
      <c r="N134" s="265"/>
      <c r="O134" s="265"/>
      <c r="P134" s="265"/>
      <c r="Q134" s="266"/>
      <c r="R134" s="243"/>
    </row>
    <row r="135" spans="3:18" customFormat="1" x14ac:dyDescent="0.25">
      <c r="C135" s="243"/>
      <c r="D135" s="45"/>
      <c r="E135" s="45"/>
      <c r="F135" s="45"/>
      <c r="G135" s="45"/>
      <c r="H135" s="45"/>
      <c r="I135" s="265"/>
      <c r="J135" s="265"/>
      <c r="K135" s="45"/>
      <c r="L135" s="243"/>
      <c r="M135" s="243"/>
      <c r="N135" s="265"/>
      <c r="O135" s="265"/>
      <c r="P135" s="265"/>
      <c r="Q135" s="266"/>
      <c r="R135" s="243"/>
    </row>
    <row r="136" spans="3:18" customFormat="1" x14ac:dyDescent="0.25">
      <c r="C136" s="243"/>
      <c r="D136" s="45"/>
      <c r="E136" s="45"/>
      <c r="F136" s="45"/>
      <c r="G136" s="45"/>
      <c r="H136" s="45"/>
      <c r="I136" s="265"/>
      <c r="J136" s="265"/>
      <c r="K136" s="45"/>
      <c r="L136" s="243"/>
      <c r="M136" s="243"/>
      <c r="N136" s="265"/>
      <c r="O136" s="265"/>
      <c r="P136" s="265"/>
      <c r="Q136" s="266"/>
      <c r="R136" s="243"/>
    </row>
    <row r="137" spans="3:18" customFormat="1" x14ac:dyDescent="0.25">
      <c r="C137" s="243"/>
      <c r="D137" s="45"/>
      <c r="E137" s="45"/>
      <c r="F137" s="45"/>
      <c r="G137" s="45"/>
      <c r="H137" s="45"/>
      <c r="I137" s="265"/>
      <c r="J137" s="265"/>
      <c r="K137" s="45"/>
      <c r="L137" s="243"/>
      <c r="M137" s="243"/>
      <c r="N137" s="265"/>
      <c r="O137" s="265"/>
      <c r="P137" s="265"/>
      <c r="Q137" s="266"/>
      <c r="R137" s="243"/>
    </row>
    <row r="138" spans="3:18" customFormat="1" x14ac:dyDescent="0.25">
      <c r="C138" s="243"/>
      <c r="D138" s="45"/>
      <c r="E138" s="45"/>
      <c r="F138" s="45"/>
      <c r="G138" s="45"/>
      <c r="H138" s="45"/>
      <c r="I138" s="265"/>
      <c r="J138" s="265"/>
      <c r="K138" s="45"/>
      <c r="L138" s="243"/>
      <c r="M138" s="243"/>
      <c r="N138" s="265"/>
      <c r="O138" s="265"/>
      <c r="P138" s="265"/>
      <c r="Q138" s="266"/>
      <c r="R138" s="243"/>
    </row>
    <row r="139" spans="3:18" customFormat="1" x14ac:dyDescent="0.25">
      <c r="C139" s="243"/>
      <c r="D139" s="45"/>
      <c r="E139" s="45"/>
      <c r="F139" s="45"/>
      <c r="G139" s="45"/>
      <c r="H139" s="45"/>
      <c r="I139" s="265"/>
      <c r="J139" s="265"/>
      <c r="K139" s="45"/>
      <c r="L139" s="243"/>
      <c r="M139" s="243"/>
      <c r="N139" s="265"/>
      <c r="O139" s="265"/>
      <c r="P139" s="265"/>
      <c r="Q139" s="266"/>
      <c r="R139" s="243"/>
    </row>
    <row r="140" spans="3:18" customFormat="1" x14ac:dyDescent="0.25">
      <c r="C140" s="243"/>
      <c r="D140" s="45"/>
      <c r="E140" s="45"/>
      <c r="F140" s="45"/>
      <c r="G140" s="45"/>
      <c r="H140" s="45"/>
      <c r="I140" s="265"/>
      <c r="J140" s="265"/>
      <c r="K140" s="45"/>
      <c r="L140" s="243"/>
      <c r="M140" s="243"/>
      <c r="N140" s="265"/>
      <c r="O140" s="265"/>
      <c r="P140" s="265"/>
      <c r="Q140" s="266"/>
      <c r="R140" s="243"/>
    </row>
    <row r="141" spans="3:18" customFormat="1" x14ac:dyDescent="0.25">
      <c r="C141" s="243"/>
      <c r="D141" s="45"/>
      <c r="E141" s="45"/>
      <c r="F141" s="45"/>
      <c r="G141" s="45"/>
      <c r="H141" s="45"/>
      <c r="I141" s="265"/>
      <c r="J141" s="265"/>
      <c r="K141" s="45"/>
      <c r="L141" s="243"/>
      <c r="M141" s="243"/>
      <c r="N141" s="265"/>
      <c r="O141" s="265"/>
      <c r="P141" s="265"/>
      <c r="Q141" s="266"/>
      <c r="R141" s="243"/>
    </row>
    <row r="142" spans="3:18" customFormat="1" x14ac:dyDescent="0.25">
      <c r="C142" s="243"/>
      <c r="D142" s="45"/>
      <c r="E142" s="45"/>
      <c r="F142" s="45"/>
      <c r="G142" s="45"/>
      <c r="H142" s="45"/>
      <c r="I142" s="265"/>
      <c r="J142" s="265"/>
      <c r="K142" s="45"/>
      <c r="L142" s="243"/>
      <c r="M142" s="243"/>
      <c r="N142" s="265"/>
      <c r="O142" s="265"/>
      <c r="P142" s="265"/>
      <c r="Q142" s="266"/>
      <c r="R142" s="243"/>
    </row>
    <row r="143" spans="3:18" customFormat="1" x14ac:dyDescent="0.25">
      <c r="C143" s="243"/>
      <c r="D143" s="45"/>
      <c r="E143" s="45"/>
      <c r="F143" s="45"/>
      <c r="G143" s="45"/>
      <c r="H143" s="45"/>
      <c r="I143" s="265"/>
      <c r="J143" s="265"/>
      <c r="K143" s="45"/>
      <c r="L143" s="243"/>
      <c r="M143" s="243"/>
      <c r="N143" s="265"/>
      <c r="O143" s="265"/>
      <c r="P143" s="265"/>
      <c r="Q143" s="266"/>
      <c r="R143" s="243"/>
    </row>
    <row r="144" spans="3:18" customFormat="1" x14ac:dyDescent="0.25">
      <c r="C144" s="243"/>
      <c r="D144" s="45"/>
      <c r="E144" s="45"/>
      <c r="F144" s="45"/>
      <c r="G144" s="45"/>
      <c r="H144" s="45"/>
      <c r="I144" s="265"/>
      <c r="J144" s="265"/>
      <c r="K144" s="45"/>
      <c r="L144" s="243"/>
      <c r="M144" s="243"/>
      <c r="N144" s="265"/>
      <c r="O144" s="265"/>
      <c r="P144" s="265"/>
      <c r="Q144" s="266"/>
      <c r="R144" s="243"/>
    </row>
    <row r="145" spans="3:18" customFormat="1" x14ac:dyDescent="0.25">
      <c r="C145" s="243"/>
      <c r="D145" s="45"/>
      <c r="E145" s="45"/>
      <c r="F145" s="45"/>
      <c r="G145" s="45"/>
      <c r="H145" s="45"/>
      <c r="I145" s="265"/>
      <c r="J145" s="265"/>
      <c r="K145" s="45"/>
      <c r="L145" s="243"/>
      <c r="M145" s="243"/>
      <c r="N145" s="265"/>
      <c r="O145" s="265"/>
      <c r="P145" s="265"/>
      <c r="Q145" s="266"/>
      <c r="R145" s="243"/>
    </row>
    <row r="146" spans="3:18" customFormat="1" x14ac:dyDescent="0.25">
      <c r="C146" s="243"/>
      <c r="D146" s="45"/>
      <c r="E146" s="45"/>
      <c r="F146" s="45"/>
      <c r="G146" s="45"/>
      <c r="H146" s="45"/>
      <c r="I146" s="265"/>
      <c r="J146" s="265"/>
      <c r="K146" s="45"/>
      <c r="L146" s="243"/>
      <c r="M146" s="243"/>
      <c r="N146" s="265"/>
      <c r="O146" s="265"/>
      <c r="P146" s="265"/>
      <c r="Q146" s="266"/>
      <c r="R146" s="243"/>
    </row>
    <row r="147" spans="3:18" customFormat="1" x14ac:dyDescent="0.25">
      <c r="C147" s="243"/>
      <c r="D147" s="45"/>
      <c r="E147" s="45"/>
      <c r="F147" s="45"/>
      <c r="G147" s="45"/>
      <c r="H147" s="45"/>
      <c r="I147" s="265"/>
      <c r="J147" s="265"/>
      <c r="K147" s="45"/>
      <c r="L147" s="243"/>
      <c r="M147" s="243"/>
      <c r="N147" s="265"/>
      <c r="O147" s="265"/>
      <c r="P147" s="265"/>
      <c r="Q147" s="266"/>
      <c r="R147" s="243"/>
    </row>
    <row r="148" spans="3:18" customFormat="1" x14ac:dyDescent="0.25">
      <c r="C148" s="243"/>
      <c r="D148" s="45"/>
      <c r="E148" s="45"/>
      <c r="F148" s="45"/>
      <c r="G148" s="45"/>
      <c r="H148" s="45"/>
      <c r="I148" s="265"/>
      <c r="J148" s="265"/>
      <c r="K148" s="45"/>
      <c r="L148" s="243"/>
      <c r="M148" s="243"/>
      <c r="N148" s="265"/>
      <c r="O148" s="265"/>
      <c r="P148" s="265"/>
      <c r="Q148" s="266"/>
      <c r="R148" s="243"/>
    </row>
    <row r="149" spans="3:18" customFormat="1" x14ac:dyDescent="0.25">
      <c r="C149" s="243"/>
      <c r="D149" s="45"/>
      <c r="E149" s="45"/>
      <c r="F149" s="45"/>
      <c r="G149" s="45"/>
      <c r="H149" s="45"/>
      <c r="I149" s="265"/>
      <c r="J149" s="265"/>
      <c r="K149" s="45"/>
      <c r="L149" s="243"/>
      <c r="M149" s="243"/>
      <c r="N149" s="265"/>
      <c r="O149" s="265"/>
      <c r="P149" s="265"/>
      <c r="Q149" s="266"/>
      <c r="R149" s="243"/>
    </row>
    <row r="150" spans="3:18" customFormat="1" x14ac:dyDescent="0.25">
      <c r="C150" s="243"/>
      <c r="D150" s="45"/>
      <c r="E150" s="45"/>
      <c r="F150" s="45"/>
      <c r="G150" s="45"/>
      <c r="H150" s="45"/>
      <c r="I150" s="265"/>
      <c r="J150" s="265"/>
      <c r="K150" s="45"/>
      <c r="L150" s="243"/>
      <c r="M150" s="243"/>
      <c r="N150" s="265"/>
      <c r="O150" s="265"/>
      <c r="P150" s="265"/>
      <c r="Q150" s="266"/>
      <c r="R150" s="243"/>
    </row>
    <row r="151" spans="3:18" customFormat="1" x14ac:dyDescent="0.25">
      <c r="C151" s="243"/>
      <c r="D151" s="45"/>
      <c r="E151" s="45"/>
      <c r="F151" s="45"/>
      <c r="G151" s="45"/>
      <c r="H151" s="45"/>
      <c r="I151" s="265"/>
      <c r="J151" s="265"/>
      <c r="K151" s="45"/>
      <c r="L151" s="243"/>
      <c r="M151" s="243"/>
      <c r="N151" s="265"/>
      <c r="O151" s="265"/>
      <c r="P151" s="265"/>
      <c r="Q151" s="266"/>
      <c r="R151" s="243"/>
    </row>
    <row r="152" spans="3:18" customFormat="1" x14ac:dyDescent="0.25">
      <c r="C152" s="243"/>
      <c r="D152" s="45"/>
      <c r="E152" s="45"/>
      <c r="F152" s="45"/>
      <c r="G152" s="45"/>
      <c r="H152" s="45"/>
      <c r="I152" s="265"/>
      <c r="J152" s="265"/>
      <c r="K152" s="45"/>
      <c r="L152" s="243"/>
      <c r="M152" s="243"/>
      <c r="N152" s="265"/>
      <c r="O152" s="265"/>
      <c r="P152" s="265"/>
      <c r="Q152" s="266"/>
      <c r="R152" s="243"/>
    </row>
    <row r="153" spans="3:18" customFormat="1" x14ac:dyDescent="0.25">
      <c r="C153" s="243"/>
      <c r="D153" s="45"/>
      <c r="E153" s="45"/>
      <c r="F153" s="45"/>
      <c r="G153" s="45"/>
      <c r="H153" s="45"/>
      <c r="I153" s="265"/>
      <c r="J153" s="265"/>
      <c r="K153" s="45"/>
      <c r="L153" s="243"/>
      <c r="M153" s="243"/>
      <c r="N153" s="265"/>
      <c r="O153" s="265"/>
      <c r="P153" s="265"/>
      <c r="Q153" s="266"/>
      <c r="R153" s="243"/>
    </row>
    <row r="154" spans="3:18" customFormat="1" x14ac:dyDescent="0.25">
      <c r="C154" s="243"/>
      <c r="D154" s="45"/>
      <c r="E154" s="45"/>
      <c r="F154" s="45"/>
      <c r="G154" s="45"/>
      <c r="H154" s="45"/>
      <c r="I154" s="265"/>
      <c r="J154" s="265"/>
      <c r="K154" s="45"/>
      <c r="L154" s="243"/>
      <c r="M154" s="243"/>
      <c r="N154" s="265"/>
      <c r="O154" s="265"/>
      <c r="P154" s="265"/>
      <c r="Q154" s="266"/>
      <c r="R154" s="243"/>
    </row>
    <row r="155" spans="3:18" customFormat="1" x14ac:dyDescent="0.25">
      <c r="C155" s="243"/>
      <c r="D155" s="45"/>
      <c r="E155" s="45"/>
      <c r="F155" s="45"/>
      <c r="G155" s="45"/>
      <c r="H155" s="45"/>
      <c r="I155" s="265"/>
      <c r="J155" s="265"/>
      <c r="K155" s="45"/>
      <c r="L155" s="243"/>
      <c r="M155" s="243"/>
      <c r="N155" s="265"/>
      <c r="O155" s="265"/>
      <c r="P155" s="265"/>
      <c r="Q155" s="266"/>
      <c r="R155" s="243"/>
    </row>
    <row r="156" spans="3:18" customFormat="1" x14ac:dyDescent="0.25">
      <c r="C156" s="243"/>
      <c r="D156" s="45"/>
      <c r="E156" s="45"/>
      <c r="F156" s="45"/>
      <c r="G156" s="45"/>
      <c r="H156" s="45"/>
      <c r="I156" s="265"/>
      <c r="J156" s="265"/>
      <c r="K156" s="45"/>
      <c r="L156" s="243"/>
      <c r="M156" s="243"/>
      <c r="N156" s="265"/>
      <c r="O156" s="265"/>
      <c r="P156" s="265"/>
      <c r="Q156" s="266"/>
      <c r="R156" s="243"/>
    </row>
    <row r="157" spans="3:18" customFormat="1" x14ac:dyDescent="0.25">
      <c r="C157" s="243"/>
      <c r="D157" s="45"/>
      <c r="E157" s="45"/>
      <c r="F157" s="45"/>
      <c r="G157" s="45"/>
      <c r="H157" s="45"/>
      <c r="I157" s="265"/>
      <c r="J157" s="265"/>
      <c r="K157" s="45"/>
      <c r="L157" s="243"/>
      <c r="M157" s="243"/>
      <c r="N157" s="265"/>
      <c r="O157" s="265"/>
      <c r="P157" s="265"/>
      <c r="Q157" s="266"/>
      <c r="R157" s="243"/>
    </row>
    <row r="158" spans="3:18" customFormat="1" x14ac:dyDescent="0.25">
      <c r="C158" s="243"/>
      <c r="D158" s="45"/>
      <c r="E158" s="45"/>
      <c r="F158" s="45"/>
      <c r="G158" s="45"/>
      <c r="H158" s="45"/>
      <c r="I158" s="265"/>
      <c r="J158" s="265"/>
      <c r="K158" s="45"/>
      <c r="L158" s="243"/>
      <c r="M158" s="243"/>
      <c r="N158" s="265"/>
      <c r="O158" s="265"/>
      <c r="P158" s="265"/>
      <c r="Q158" s="266"/>
      <c r="R158" s="243"/>
    </row>
    <row r="159" spans="3:18" customFormat="1" x14ac:dyDescent="0.25">
      <c r="C159" s="243"/>
      <c r="D159" s="45"/>
      <c r="E159" s="45"/>
      <c r="F159" s="45"/>
      <c r="G159" s="45"/>
      <c r="H159" s="45"/>
      <c r="I159" s="265"/>
      <c r="J159" s="265"/>
      <c r="K159" s="45"/>
      <c r="L159" s="243"/>
      <c r="M159" s="243"/>
      <c r="N159" s="265"/>
      <c r="O159" s="265"/>
      <c r="P159" s="265"/>
      <c r="Q159" s="266"/>
      <c r="R159" s="243"/>
    </row>
    <row r="160" spans="3:18" customFormat="1" x14ac:dyDescent="0.25">
      <c r="C160" s="243"/>
      <c r="D160" s="45"/>
      <c r="E160" s="45"/>
      <c r="F160" s="45"/>
      <c r="G160" s="45"/>
      <c r="H160" s="45"/>
      <c r="I160" s="265"/>
      <c r="J160" s="265"/>
      <c r="K160" s="45"/>
      <c r="L160" s="243"/>
      <c r="M160" s="243"/>
      <c r="N160" s="265"/>
      <c r="O160" s="265"/>
      <c r="P160" s="265"/>
      <c r="Q160" s="266"/>
      <c r="R160" s="243"/>
    </row>
    <row r="161" spans="3:18" customFormat="1" x14ac:dyDescent="0.25">
      <c r="C161" s="243"/>
      <c r="D161" s="45"/>
      <c r="E161" s="45"/>
      <c r="F161" s="45"/>
      <c r="G161" s="45"/>
      <c r="H161" s="45"/>
      <c r="I161" s="265"/>
      <c r="J161" s="265"/>
      <c r="K161" s="45"/>
      <c r="L161" s="243"/>
      <c r="M161" s="243"/>
      <c r="N161" s="265"/>
      <c r="O161" s="265"/>
      <c r="P161" s="265"/>
      <c r="Q161" s="266"/>
      <c r="R161" s="243"/>
    </row>
    <row r="162" spans="3:18" customFormat="1" x14ac:dyDescent="0.25">
      <c r="C162" s="243"/>
      <c r="D162" s="45"/>
      <c r="E162" s="45"/>
      <c r="F162" s="45"/>
      <c r="G162" s="45"/>
      <c r="H162" s="45"/>
      <c r="I162" s="265"/>
      <c r="J162" s="265"/>
      <c r="K162" s="45"/>
      <c r="L162" s="243"/>
      <c r="M162" s="243"/>
      <c r="N162" s="265"/>
      <c r="O162" s="265"/>
      <c r="P162" s="265"/>
      <c r="Q162" s="266"/>
      <c r="R162" s="243"/>
    </row>
    <row r="163" spans="3:18" customFormat="1" x14ac:dyDescent="0.25">
      <c r="C163" s="243"/>
      <c r="D163" s="45"/>
      <c r="E163" s="45"/>
      <c r="F163" s="45"/>
      <c r="G163" s="45"/>
      <c r="H163" s="45"/>
      <c r="I163" s="265"/>
      <c r="J163" s="265"/>
      <c r="K163" s="45"/>
      <c r="L163" s="243"/>
      <c r="M163" s="243"/>
      <c r="N163" s="265"/>
      <c r="O163" s="265"/>
      <c r="P163" s="265"/>
      <c r="Q163" s="266"/>
      <c r="R163" s="243"/>
    </row>
    <row r="164" spans="3:18" customFormat="1" x14ac:dyDescent="0.25">
      <c r="C164" s="243"/>
      <c r="D164" s="45"/>
      <c r="E164" s="45"/>
      <c r="F164" s="45"/>
      <c r="G164" s="45"/>
      <c r="H164" s="45"/>
      <c r="I164" s="265"/>
      <c r="J164" s="265"/>
      <c r="K164" s="45"/>
      <c r="L164" s="243"/>
      <c r="M164" s="243"/>
      <c r="N164" s="265"/>
      <c r="O164" s="265"/>
      <c r="P164" s="265"/>
      <c r="Q164" s="266"/>
      <c r="R164" s="243"/>
    </row>
    <row r="165" spans="3:18" customFormat="1" x14ac:dyDescent="0.25">
      <c r="C165" s="243"/>
      <c r="D165" s="45"/>
      <c r="E165" s="45"/>
      <c r="F165" s="45"/>
      <c r="G165" s="45"/>
      <c r="H165" s="45"/>
      <c r="I165" s="265"/>
      <c r="J165" s="265"/>
      <c r="K165" s="45"/>
      <c r="L165" s="243"/>
      <c r="M165" s="243"/>
      <c r="N165" s="265"/>
      <c r="O165" s="265"/>
      <c r="P165" s="265"/>
      <c r="Q165" s="266"/>
      <c r="R165" s="243"/>
    </row>
    <row r="166" spans="3:18" customFormat="1" x14ac:dyDescent="0.25">
      <c r="C166" s="243"/>
      <c r="D166" s="45"/>
      <c r="E166" s="45"/>
      <c r="F166" s="45"/>
      <c r="G166" s="45"/>
      <c r="H166" s="45"/>
      <c r="I166" s="265"/>
      <c r="J166" s="265"/>
      <c r="K166" s="45"/>
      <c r="L166" s="243"/>
      <c r="M166" s="243"/>
      <c r="N166" s="265"/>
      <c r="O166" s="265"/>
      <c r="P166" s="265"/>
      <c r="Q166" s="266"/>
      <c r="R166" s="243"/>
    </row>
    <row r="167" spans="3:18" customFormat="1" x14ac:dyDescent="0.25">
      <c r="C167" s="243"/>
      <c r="D167" s="45"/>
      <c r="E167" s="45"/>
      <c r="F167" s="45"/>
      <c r="G167" s="45"/>
      <c r="H167" s="45"/>
      <c r="I167" s="265"/>
      <c r="J167" s="265"/>
      <c r="K167" s="45"/>
      <c r="L167" s="243"/>
      <c r="M167" s="243"/>
      <c r="N167" s="265"/>
      <c r="O167" s="265"/>
      <c r="P167" s="265"/>
      <c r="Q167" s="266"/>
      <c r="R167" s="243"/>
    </row>
    <row r="168" spans="3:18" customFormat="1" x14ac:dyDescent="0.25">
      <c r="C168" s="243"/>
      <c r="D168" s="45"/>
      <c r="E168" s="45"/>
      <c r="F168" s="45"/>
      <c r="G168" s="45"/>
      <c r="H168" s="45"/>
      <c r="I168" s="265"/>
      <c r="J168" s="265"/>
      <c r="K168" s="45"/>
      <c r="L168" s="243"/>
      <c r="M168" s="243"/>
      <c r="N168" s="265"/>
      <c r="O168" s="265"/>
      <c r="P168" s="265"/>
      <c r="Q168" s="266"/>
      <c r="R168" s="243"/>
    </row>
    <row r="169" spans="3:18" customFormat="1" x14ac:dyDescent="0.25">
      <c r="C169" s="243"/>
      <c r="D169" s="45"/>
      <c r="E169" s="45"/>
      <c r="F169" s="45"/>
      <c r="G169" s="45"/>
      <c r="H169" s="45"/>
      <c r="I169" s="265"/>
      <c r="J169" s="265"/>
      <c r="K169" s="45"/>
      <c r="L169" s="243"/>
      <c r="M169" s="243"/>
      <c r="N169" s="265"/>
      <c r="O169" s="265"/>
      <c r="P169" s="265"/>
      <c r="Q169" s="266"/>
      <c r="R169" s="243"/>
    </row>
    <row r="170" spans="3:18" customFormat="1" x14ac:dyDescent="0.25">
      <c r="C170" s="243"/>
      <c r="D170" s="45"/>
      <c r="E170" s="45"/>
      <c r="F170" s="45"/>
      <c r="G170" s="45"/>
      <c r="H170" s="45"/>
      <c r="I170" s="265"/>
      <c r="J170" s="265"/>
      <c r="K170" s="45"/>
      <c r="L170" s="243"/>
      <c r="M170" s="243"/>
      <c r="N170" s="265"/>
      <c r="O170" s="265"/>
      <c r="P170" s="265"/>
      <c r="Q170" s="266"/>
      <c r="R170" s="243"/>
    </row>
    <row r="171" spans="3:18" customFormat="1" x14ac:dyDescent="0.25">
      <c r="C171" s="243"/>
      <c r="D171" s="45"/>
      <c r="E171" s="45"/>
      <c r="F171" s="45"/>
      <c r="G171" s="45"/>
      <c r="H171" s="45"/>
      <c r="I171" s="265"/>
      <c r="J171" s="265"/>
      <c r="K171" s="45"/>
      <c r="L171" s="243"/>
      <c r="M171" s="243"/>
      <c r="N171" s="265"/>
      <c r="O171" s="265"/>
      <c r="P171" s="265"/>
      <c r="Q171" s="266"/>
      <c r="R171" s="243"/>
    </row>
    <row r="172" spans="3:18" customFormat="1" x14ac:dyDescent="0.25">
      <c r="C172" s="243"/>
      <c r="D172" s="45"/>
      <c r="E172" s="45"/>
      <c r="F172" s="45"/>
      <c r="G172" s="45"/>
      <c r="H172" s="45"/>
      <c r="I172" s="265"/>
      <c r="J172" s="265"/>
      <c r="K172" s="45"/>
      <c r="L172" s="243"/>
      <c r="M172" s="243"/>
      <c r="N172" s="265"/>
      <c r="O172" s="265"/>
      <c r="P172" s="265"/>
      <c r="Q172" s="266"/>
      <c r="R172" s="243"/>
    </row>
    <row r="173" spans="3:18" customFormat="1" x14ac:dyDescent="0.25">
      <c r="C173" s="243"/>
      <c r="D173" s="45"/>
      <c r="E173" s="45"/>
      <c r="F173" s="45"/>
      <c r="G173" s="45"/>
      <c r="H173" s="45"/>
      <c r="I173" s="265"/>
      <c r="J173" s="265"/>
      <c r="K173" s="45"/>
      <c r="L173" s="243"/>
      <c r="M173" s="243"/>
      <c r="N173" s="265"/>
      <c r="O173" s="265"/>
      <c r="P173" s="265"/>
      <c r="Q173" s="266"/>
      <c r="R173" s="243"/>
    </row>
    <row r="174" spans="3:18" customFormat="1" x14ac:dyDescent="0.25">
      <c r="C174" s="243"/>
      <c r="D174" s="45"/>
      <c r="E174" s="45"/>
      <c r="F174" s="45"/>
      <c r="G174" s="45"/>
      <c r="H174" s="45"/>
      <c r="I174" s="265"/>
      <c r="J174" s="265"/>
      <c r="K174" s="45"/>
      <c r="L174" s="243"/>
      <c r="M174" s="243"/>
      <c r="N174" s="265"/>
      <c r="O174" s="265"/>
      <c r="P174" s="265"/>
      <c r="Q174" s="266"/>
      <c r="R174" s="243"/>
    </row>
    <row r="175" spans="3:18" customFormat="1" x14ac:dyDescent="0.25">
      <c r="C175" s="243"/>
      <c r="D175" s="45"/>
      <c r="E175" s="45"/>
      <c r="F175" s="45"/>
      <c r="G175" s="45"/>
      <c r="H175" s="45"/>
      <c r="I175" s="265"/>
      <c r="J175" s="265"/>
      <c r="K175" s="45"/>
      <c r="L175" s="243"/>
      <c r="M175" s="243"/>
      <c r="N175" s="265"/>
      <c r="O175" s="265"/>
      <c r="P175" s="265"/>
      <c r="Q175" s="266"/>
      <c r="R175" s="243"/>
    </row>
    <row r="176" spans="3:18" customFormat="1" x14ac:dyDescent="0.25">
      <c r="C176" s="243"/>
      <c r="D176" s="45"/>
      <c r="E176" s="45"/>
      <c r="F176" s="45"/>
      <c r="G176" s="45"/>
      <c r="H176" s="45"/>
      <c r="I176" s="265"/>
      <c r="J176" s="265"/>
      <c r="K176" s="45"/>
      <c r="L176" s="243"/>
      <c r="M176" s="243"/>
      <c r="N176" s="265"/>
      <c r="O176" s="265"/>
      <c r="P176" s="265"/>
      <c r="Q176" s="266"/>
      <c r="R176" s="243"/>
    </row>
    <row r="177" spans="3:18" customFormat="1" x14ac:dyDescent="0.25">
      <c r="C177" s="243"/>
      <c r="D177" s="45"/>
      <c r="E177" s="45"/>
      <c r="F177" s="45"/>
      <c r="G177" s="45"/>
      <c r="H177" s="45"/>
      <c r="I177" s="265"/>
      <c r="J177" s="265"/>
      <c r="K177" s="45"/>
      <c r="L177" s="243"/>
      <c r="M177" s="243"/>
      <c r="N177" s="265"/>
      <c r="O177" s="265"/>
      <c r="P177" s="265"/>
      <c r="Q177" s="266"/>
      <c r="R177" s="243"/>
    </row>
    <row r="178" spans="3:18" customFormat="1" x14ac:dyDescent="0.25">
      <c r="C178" s="243"/>
      <c r="D178" s="45"/>
      <c r="E178" s="45"/>
      <c r="F178" s="45"/>
      <c r="G178" s="45"/>
      <c r="H178" s="45"/>
      <c r="I178" s="265"/>
      <c r="J178" s="265"/>
      <c r="K178" s="45"/>
      <c r="L178" s="243"/>
      <c r="M178" s="243"/>
      <c r="N178" s="265"/>
      <c r="O178" s="265"/>
      <c r="P178" s="265"/>
      <c r="Q178" s="266"/>
      <c r="R178" s="243"/>
    </row>
    <row r="179" spans="3:18" customFormat="1" x14ac:dyDescent="0.25">
      <c r="C179" s="243"/>
      <c r="D179" s="45"/>
      <c r="E179" s="45"/>
      <c r="F179" s="45"/>
      <c r="G179" s="45"/>
      <c r="H179" s="45"/>
      <c r="I179" s="265"/>
      <c r="J179" s="265"/>
      <c r="K179" s="45"/>
      <c r="L179" s="243"/>
      <c r="M179" s="243"/>
      <c r="N179" s="265"/>
      <c r="O179" s="265"/>
      <c r="P179" s="265"/>
      <c r="Q179" s="266"/>
      <c r="R179" s="243"/>
    </row>
    <row r="180" spans="3:18" customFormat="1" x14ac:dyDescent="0.25">
      <c r="C180" s="243"/>
      <c r="D180" s="45"/>
      <c r="E180" s="45"/>
      <c r="F180" s="45"/>
      <c r="G180" s="45"/>
      <c r="H180" s="45"/>
      <c r="I180" s="265"/>
      <c r="J180" s="265"/>
      <c r="K180" s="45"/>
      <c r="L180" s="243"/>
      <c r="M180" s="243"/>
      <c r="N180" s="265"/>
      <c r="O180" s="265"/>
      <c r="P180" s="265"/>
      <c r="Q180" s="266"/>
      <c r="R180" s="243"/>
    </row>
    <row r="181" spans="3:18" customFormat="1" x14ac:dyDescent="0.25">
      <c r="C181" s="243"/>
      <c r="D181" s="45"/>
      <c r="E181" s="45"/>
      <c r="F181" s="45"/>
      <c r="G181" s="45"/>
      <c r="H181" s="45"/>
      <c r="I181" s="265"/>
      <c r="J181" s="265"/>
      <c r="K181" s="45"/>
      <c r="L181" s="243"/>
      <c r="M181" s="243"/>
      <c r="N181" s="265"/>
      <c r="O181" s="265"/>
      <c r="P181" s="265"/>
      <c r="Q181" s="266"/>
      <c r="R181" s="243"/>
    </row>
    <row r="182" spans="3:18" customFormat="1" x14ac:dyDescent="0.25">
      <c r="C182" s="243"/>
      <c r="D182" s="45"/>
      <c r="E182" s="45"/>
      <c r="F182" s="45"/>
      <c r="G182" s="45"/>
      <c r="H182" s="45"/>
      <c r="I182" s="265"/>
      <c r="J182" s="265"/>
      <c r="K182" s="45"/>
      <c r="L182" s="243"/>
      <c r="M182" s="243"/>
      <c r="N182" s="265"/>
      <c r="O182" s="265"/>
      <c r="P182" s="265"/>
      <c r="Q182" s="266"/>
      <c r="R182" s="243"/>
    </row>
    <row r="183" spans="3:18" customFormat="1" x14ac:dyDescent="0.25">
      <c r="C183" s="243"/>
      <c r="D183" s="45"/>
      <c r="E183" s="45"/>
      <c r="F183" s="45"/>
      <c r="G183" s="45"/>
      <c r="H183" s="45"/>
      <c r="I183" s="265"/>
      <c r="J183" s="265"/>
      <c r="K183" s="45"/>
      <c r="L183" s="243"/>
      <c r="M183" s="243"/>
      <c r="N183" s="265"/>
      <c r="O183" s="265"/>
      <c r="P183" s="265"/>
      <c r="Q183" s="266"/>
      <c r="R183" s="243"/>
    </row>
    <row r="184" spans="3:18" customFormat="1" x14ac:dyDescent="0.25">
      <c r="C184" s="243"/>
      <c r="D184" s="45"/>
      <c r="E184" s="45"/>
      <c r="F184" s="45"/>
      <c r="G184" s="45"/>
      <c r="H184" s="45"/>
      <c r="I184" s="265"/>
      <c r="J184" s="265"/>
      <c r="K184" s="45"/>
      <c r="L184" s="243"/>
      <c r="M184" s="243"/>
      <c r="N184" s="265"/>
      <c r="O184" s="265"/>
      <c r="P184" s="265"/>
      <c r="Q184" s="266"/>
      <c r="R184" s="243"/>
    </row>
    <row r="185" spans="3:18" customFormat="1" x14ac:dyDescent="0.25">
      <c r="C185" s="243"/>
      <c r="D185" s="45"/>
      <c r="E185" s="45"/>
      <c r="F185" s="45"/>
      <c r="G185" s="45"/>
      <c r="H185" s="45"/>
      <c r="I185" s="265"/>
      <c r="J185" s="265"/>
      <c r="K185" s="45"/>
      <c r="L185" s="243"/>
      <c r="M185" s="243"/>
      <c r="N185" s="265"/>
      <c r="O185" s="265"/>
      <c r="P185" s="265"/>
      <c r="Q185" s="266"/>
      <c r="R185" s="243"/>
    </row>
    <row r="186" spans="3:18" customFormat="1" x14ac:dyDescent="0.25">
      <c r="C186" s="243"/>
      <c r="D186" s="45"/>
      <c r="E186" s="45"/>
      <c r="F186" s="45"/>
      <c r="G186" s="45"/>
      <c r="H186" s="45"/>
      <c r="I186" s="265"/>
      <c r="J186" s="265"/>
      <c r="K186" s="45"/>
      <c r="L186" s="243"/>
      <c r="M186" s="243"/>
      <c r="N186" s="265"/>
      <c r="O186" s="265"/>
      <c r="P186" s="265"/>
      <c r="Q186" s="266"/>
      <c r="R186" s="243"/>
    </row>
    <row r="187" spans="3:18" customFormat="1" x14ac:dyDescent="0.25">
      <c r="C187" s="243"/>
      <c r="D187" s="45"/>
      <c r="E187" s="45"/>
      <c r="F187" s="45"/>
      <c r="G187" s="45"/>
      <c r="H187" s="45"/>
      <c r="I187" s="265"/>
      <c r="J187" s="265"/>
      <c r="K187" s="45"/>
      <c r="L187" s="243"/>
      <c r="M187" s="243"/>
      <c r="N187" s="265"/>
      <c r="O187" s="265"/>
      <c r="P187" s="265"/>
      <c r="Q187" s="266"/>
      <c r="R187" s="243"/>
    </row>
    <row r="188" spans="3:18" customFormat="1" x14ac:dyDescent="0.25">
      <c r="C188" s="243"/>
      <c r="D188" s="45"/>
      <c r="E188" s="45"/>
      <c r="F188" s="45"/>
      <c r="G188" s="45"/>
      <c r="H188" s="45"/>
      <c r="I188" s="265"/>
      <c r="J188" s="265"/>
      <c r="K188" s="45"/>
      <c r="L188" s="243"/>
      <c r="M188" s="243"/>
      <c r="N188" s="265"/>
      <c r="O188" s="265"/>
      <c r="P188" s="265"/>
      <c r="Q188" s="266"/>
      <c r="R188" s="243"/>
    </row>
    <row r="189" spans="3:18" customFormat="1" x14ac:dyDescent="0.25">
      <c r="C189" s="243"/>
      <c r="D189" s="45"/>
      <c r="E189" s="45"/>
      <c r="F189" s="45"/>
      <c r="G189" s="45"/>
      <c r="H189" s="45"/>
      <c r="I189" s="265"/>
      <c r="J189" s="265"/>
      <c r="K189" s="45"/>
      <c r="L189" s="243"/>
      <c r="M189" s="243"/>
      <c r="N189" s="265"/>
      <c r="O189" s="265"/>
      <c r="P189" s="265"/>
      <c r="Q189" s="266"/>
      <c r="R189" s="243"/>
    </row>
    <row r="190" spans="3:18" customFormat="1" x14ac:dyDescent="0.25">
      <c r="C190" s="243"/>
      <c r="D190" s="45"/>
      <c r="E190" s="45"/>
      <c r="F190" s="45"/>
      <c r="G190" s="45"/>
      <c r="H190" s="45"/>
      <c r="I190" s="265"/>
      <c r="J190" s="265"/>
      <c r="K190" s="45"/>
      <c r="L190" s="243"/>
      <c r="M190" s="243"/>
      <c r="N190" s="265"/>
      <c r="O190" s="265"/>
      <c r="P190" s="265"/>
      <c r="Q190" s="266"/>
      <c r="R190" s="243"/>
    </row>
    <row r="191" spans="3:18" customFormat="1" x14ac:dyDescent="0.25">
      <c r="C191" s="243"/>
      <c r="D191" s="45"/>
      <c r="E191" s="45"/>
      <c r="F191" s="45"/>
      <c r="G191" s="45"/>
      <c r="H191" s="45"/>
      <c r="I191" s="265"/>
      <c r="J191" s="265"/>
      <c r="K191" s="45"/>
      <c r="L191" s="243"/>
      <c r="M191" s="243"/>
      <c r="N191" s="265"/>
      <c r="O191" s="265"/>
      <c r="P191" s="265"/>
      <c r="Q191" s="266"/>
      <c r="R191" s="243"/>
    </row>
    <row r="192" spans="3:18" customFormat="1" x14ac:dyDescent="0.25">
      <c r="C192" s="243"/>
      <c r="D192" s="45"/>
      <c r="E192" s="45"/>
      <c r="F192" s="45"/>
      <c r="G192" s="45"/>
      <c r="H192" s="45"/>
      <c r="I192" s="265"/>
      <c r="J192" s="265"/>
      <c r="K192" s="45"/>
      <c r="L192" s="243"/>
      <c r="M192" s="243"/>
      <c r="N192" s="265"/>
      <c r="O192" s="265"/>
      <c r="P192" s="265"/>
      <c r="Q192" s="266"/>
      <c r="R192" s="243"/>
    </row>
    <row r="193" spans="3:18" customFormat="1" x14ac:dyDescent="0.25">
      <c r="C193" s="243"/>
      <c r="D193" s="45"/>
      <c r="E193" s="45"/>
      <c r="F193" s="45"/>
      <c r="G193" s="45"/>
      <c r="H193" s="45"/>
      <c r="I193" s="265"/>
      <c r="J193" s="265"/>
      <c r="K193" s="45"/>
      <c r="L193" s="243"/>
      <c r="M193" s="243"/>
      <c r="N193" s="265"/>
      <c r="O193" s="265"/>
      <c r="P193" s="265"/>
      <c r="Q193" s="266"/>
      <c r="R193" s="243"/>
    </row>
    <row r="194" spans="3:18" customFormat="1" x14ac:dyDescent="0.25">
      <c r="C194" s="243"/>
      <c r="D194" s="45"/>
      <c r="E194" s="45"/>
      <c r="F194" s="45"/>
      <c r="G194" s="45"/>
      <c r="H194" s="45"/>
      <c r="I194" s="265"/>
      <c r="J194" s="265"/>
      <c r="K194" s="45"/>
      <c r="L194" s="243"/>
      <c r="M194" s="243"/>
      <c r="N194" s="265"/>
      <c r="O194" s="265"/>
      <c r="P194" s="265"/>
      <c r="Q194" s="266"/>
      <c r="R194" s="243"/>
    </row>
    <row r="195" spans="3:18" customFormat="1" x14ac:dyDescent="0.25">
      <c r="C195" s="243"/>
      <c r="D195" s="45"/>
      <c r="E195" s="45"/>
      <c r="F195" s="45"/>
      <c r="G195" s="45"/>
      <c r="H195" s="45"/>
      <c r="I195" s="265"/>
      <c r="J195" s="265"/>
      <c r="K195" s="45"/>
      <c r="L195" s="243"/>
      <c r="M195" s="243"/>
      <c r="N195" s="265"/>
      <c r="O195" s="265"/>
      <c r="P195" s="265"/>
      <c r="Q195" s="266"/>
      <c r="R195" s="243"/>
    </row>
    <row r="196" spans="3:18" customFormat="1" x14ac:dyDescent="0.25">
      <c r="C196" s="243"/>
      <c r="D196" s="45"/>
      <c r="E196" s="45"/>
      <c r="F196" s="45"/>
      <c r="G196" s="45"/>
      <c r="H196" s="45"/>
      <c r="I196" s="265"/>
      <c r="J196" s="265"/>
      <c r="K196" s="45"/>
      <c r="L196" s="243"/>
      <c r="M196" s="243"/>
      <c r="N196" s="265"/>
      <c r="O196" s="265"/>
      <c r="P196" s="265"/>
      <c r="Q196" s="266"/>
      <c r="R196" s="243"/>
    </row>
    <row r="197" spans="3:18" customFormat="1" x14ac:dyDescent="0.25">
      <c r="C197" s="243"/>
      <c r="D197" s="45"/>
      <c r="E197" s="45"/>
      <c r="F197" s="45"/>
      <c r="G197" s="45"/>
      <c r="H197" s="45"/>
      <c r="I197" s="265"/>
      <c r="J197" s="265"/>
      <c r="K197" s="45"/>
      <c r="L197" s="243"/>
      <c r="M197" s="243"/>
      <c r="N197" s="265"/>
      <c r="O197" s="265"/>
      <c r="P197" s="265"/>
      <c r="Q197" s="266"/>
      <c r="R197" s="243"/>
    </row>
    <row r="198" spans="3:18" customFormat="1" x14ac:dyDescent="0.25">
      <c r="C198" s="243"/>
      <c r="D198" s="45"/>
      <c r="E198" s="45"/>
      <c r="F198" s="45"/>
      <c r="G198" s="45"/>
      <c r="H198" s="45"/>
      <c r="I198" s="265"/>
      <c r="J198" s="265"/>
      <c r="K198" s="45"/>
      <c r="L198" s="243"/>
      <c r="M198" s="243"/>
      <c r="N198" s="265"/>
      <c r="O198" s="265"/>
      <c r="P198" s="265"/>
      <c r="Q198" s="266"/>
      <c r="R198" s="243"/>
    </row>
    <row r="199" spans="3:18" customFormat="1" x14ac:dyDescent="0.25">
      <c r="C199" s="243"/>
      <c r="D199" s="45"/>
      <c r="E199" s="45"/>
      <c r="F199" s="45"/>
      <c r="G199" s="45"/>
      <c r="H199" s="45"/>
      <c r="I199" s="265"/>
      <c r="J199" s="265"/>
      <c r="K199" s="45"/>
      <c r="L199" s="243"/>
      <c r="M199" s="243"/>
      <c r="N199" s="265"/>
      <c r="O199" s="265"/>
      <c r="P199" s="265"/>
      <c r="Q199" s="266"/>
      <c r="R199" s="243"/>
    </row>
    <row r="200" spans="3:18" customFormat="1" x14ac:dyDescent="0.25">
      <c r="C200" s="243"/>
      <c r="D200" s="45"/>
      <c r="E200" s="45"/>
      <c r="F200" s="45"/>
      <c r="G200" s="45"/>
      <c r="H200" s="45"/>
      <c r="I200" s="265"/>
      <c r="J200" s="265"/>
      <c r="K200" s="45"/>
      <c r="L200" s="243"/>
      <c r="M200" s="243"/>
      <c r="N200" s="265"/>
      <c r="O200" s="265"/>
      <c r="P200" s="265"/>
      <c r="Q200" s="266"/>
      <c r="R200" s="243"/>
    </row>
    <row r="201" spans="3:18" customFormat="1" x14ac:dyDescent="0.25">
      <c r="C201" s="243"/>
      <c r="D201" s="45"/>
      <c r="E201" s="45"/>
      <c r="F201" s="45"/>
      <c r="G201" s="45"/>
      <c r="H201" s="45"/>
      <c r="I201" s="265"/>
      <c r="J201" s="265"/>
      <c r="K201" s="45"/>
      <c r="L201" s="243"/>
      <c r="M201" s="243"/>
      <c r="N201" s="265"/>
      <c r="O201" s="265"/>
      <c r="P201" s="265"/>
      <c r="Q201" s="266"/>
      <c r="R201" s="243"/>
    </row>
    <row r="202" spans="3:18" customFormat="1" x14ac:dyDescent="0.25">
      <c r="C202" s="243"/>
      <c r="D202" s="45"/>
      <c r="E202" s="45"/>
      <c r="F202" s="45"/>
      <c r="G202" s="45"/>
      <c r="H202" s="45"/>
      <c r="I202" s="265"/>
      <c r="J202" s="265"/>
      <c r="K202" s="45"/>
      <c r="L202" s="243"/>
      <c r="M202" s="243"/>
      <c r="N202" s="265"/>
      <c r="O202" s="265"/>
      <c r="P202" s="265"/>
      <c r="Q202" s="266"/>
      <c r="R202" s="243"/>
    </row>
    <row r="203" spans="3:18" customFormat="1" x14ac:dyDescent="0.25">
      <c r="C203" s="243"/>
      <c r="D203" s="45"/>
      <c r="E203" s="45"/>
      <c r="F203" s="45"/>
      <c r="G203" s="45"/>
      <c r="H203" s="45"/>
      <c r="I203" s="265"/>
      <c r="J203" s="265"/>
      <c r="K203" s="45"/>
      <c r="L203" s="243"/>
      <c r="M203" s="243"/>
      <c r="N203" s="265"/>
      <c r="O203" s="265"/>
      <c r="P203" s="265"/>
      <c r="Q203" s="266"/>
      <c r="R203" s="243"/>
    </row>
    <row r="204" spans="3:18" customFormat="1" x14ac:dyDescent="0.25">
      <c r="C204" s="243"/>
      <c r="D204" s="45"/>
      <c r="E204" s="45"/>
      <c r="F204" s="45"/>
      <c r="G204" s="45"/>
      <c r="H204" s="45"/>
      <c r="I204" s="265"/>
      <c r="J204" s="265"/>
      <c r="K204" s="45"/>
      <c r="L204" s="243"/>
      <c r="M204" s="243"/>
      <c r="N204" s="265"/>
      <c r="O204" s="265"/>
      <c r="P204" s="265"/>
      <c r="Q204" s="266"/>
      <c r="R204" s="243"/>
    </row>
    <row r="205" spans="3:18" customFormat="1" x14ac:dyDescent="0.25">
      <c r="C205" s="243"/>
      <c r="D205" s="45"/>
      <c r="E205" s="45"/>
      <c r="F205" s="45"/>
      <c r="G205" s="45"/>
      <c r="H205" s="45"/>
      <c r="I205" s="265"/>
      <c r="J205" s="265"/>
      <c r="K205" s="45"/>
      <c r="L205" s="243"/>
      <c r="M205" s="243"/>
      <c r="N205" s="265"/>
      <c r="O205" s="265"/>
      <c r="P205" s="265"/>
      <c r="Q205" s="266"/>
      <c r="R205" s="243"/>
    </row>
    <row r="206" spans="3:18" customFormat="1" x14ac:dyDescent="0.25">
      <c r="C206" s="243"/>
      <c r="D206" s="45"/>
      <c r="E206" s="45"/>
      <c r="F206" s="45"/>
      <c r="G206" s="45"/>
      <c r="H206" s="45"/>
      <c r="I206" s="265"/>
      <c r="J206" s="265"/>
      <c r="K206" s="45"/>
      <c r="L206" s="243"/>
      <c r="M206" s="243"/>
      <c r="N206" s="265"/>
      <c r="O206" s="265"/>
      <c r="P206" s="265"/>
      <c r="Q206" s="266"/>
      <c r="R206" s="243"/>
    </row>
    <row r="207" spans="3:18" customFormat="1" x14ac:dyDescent="0.25">
      <c r="C207" s="243"/>
      <c r="D207" s="45"/>
      <c r="E207" s="45"/>
      <c r="F207" s="45"/>
      <c r="G207" s="45"/>
      <c r="H207" s="45"/>
      <c r="I207" s="265"/>
      <c r="J207" s="265"/>
      <c r="K207" s="45"/>
      <c r="L207" s="243"/>
      <c r="M207" s="243"/>
      <c r="N207" s="265"/>
      <c r="O207" s="265"/>
      <c r="P207" s="265"/>
      <c r="Q207" s="266"/>
      <c r="R207" s="243"/>
    </row>
    <row r="208" spans="3:18" customFormat="1" x14ac:dyDescent="0.25">
      <c r="C208" s="243"/>
      <c r="D208" s="45"/>
      <c r="E208" s="45"/>
      <c r="F208" s="45"/>
      <c r="G208" s="45"/>
      <c r="H208" s="45"/>
      <c r="I208" s="265"/>
      <c r="J208" s="265"/>
      <c r="K208" s="45"/>
      <c r="L208" s="243"/>
      <c r="M208" s="243"/>
      <c r="N208" s="265"/>
      <c r="O208" s="265"/>
      <c r="P208" s="265"/>
      <c r="Q208" s="266"/>
      <c r="R208" s="243"/>
    </row>
    <row r="209" spans="3:18" customFormat="1" x14ac:dyDescent="0.25">
      <c r="C209" s="243"/>
      <c r="D209" s="45"/>
      <c r="E209" s="45"/>
      <c r="F209" s="45"/>
      <c r="G209" s="45"/>
      <c r="H209" s="45"/>
      <c r="I209" s="265"/>
      <c r="J209" s="265"/>
      <c r="K209" s="45"/>
      <c r="L209" s="243"/>
      <c r="M209" s="243"/>
      <c r="N209" s="265"/>
      <c r="O209" s="265"/>
      <c r="P209" s="265"/>
      <c r="Q209" s="266"/>
      <c r="R209" s="243"/>
    </row>
    <row r="210" spans="3:18" customFormat="1" x14ac:dyDescent="0.25">
      <c r="C210" s="243"/>
      <c r="D210" s="45"/>
      <c r="E210" s="45"/>
      <c r="F210" s="45"/>
      <c r="G210" s="45"/>
      <c r="H210" s="45"/>
      <c r="I210" s="265"/>
      <c r="J210" s="265"/>
      <c r="K210" s="45"/>
      <c r="L210" s="243"/>
      <c r="M210" s="243"/>
      <c r="N210" s="265"/>
      <c r="O210" s="265"/>
      <c r="P210" s="265"/>
      <c r="Q210" s="266"/>
      <c r="R210" s="243"/>
    </row>
    <row r="211" spans="3:18" customFormat="1" x14ac:dyDescent="0.25">
      <c r="C211" s="243"/>
      <c r="D211" s="45"/>
      <c r="E211" s="45"/>
      <c r="F211" s="45"/>
      <c r="G211" s="45"/>
      <c r="H211" s="45"/>
      <c r="I211" s="265"/>
      <c r="J211" s="265"/>
      <c r="K211" s="45"/>
      <c r="L211" s="243"/>
      <c r="M211" s="243"/>
      <c r="N211" s="265"/>
      <c r="O211" s="265"/>
      <c r="P211" s="265"/>
      <c r="Q211" s="266"/>
      <c r="R211" s="243"/>
    </row>
    <row r="212" spans="3:18" customFormat="1" x14ac:dyDescent="0.25">
      <c r="C212" s="243"/>
      <c r="D212" s="45"/>
      <c r="E212" s="45"/>
      <c r="F212" s="45"/>
      <c r="G212" s="45"/>
      <c r="H212" s="45"/>
      <c r="I212" s="265"/>
      <c r="J212" s="265"/>
      <c r="K212" s="45"/>
      <c r="L212" s="243"/>
      <c r="M212" s="243"/>
      <c r="N212" s="265"/>
      <c r="O212" s="265"/>
      <c r="P212" s="265"/>
      <c r="Q212" s="266"/>
      <c r="R212" s="243"/>
    </row>
    <row r="213" spans="3:18" customFormat="1" x14ac:dyDescent="0.25">
      <c r="C213" s="243"/>
      <c r="D213" s="45"/>
      <c r="E213" s="45"/>
      <c r="F213" s="45"/>
      <c r="G213" s="45"/>
      <c r="H213" s="45"/>
      <c r="I213" s="265"/>
      <c r="J213" s="265"/>
      <c r="K213" s="45"/>
      <c r="L213" s="243"/>
      <c r="M213" s="243"/>
      <c r="N213" s="265"/>
      <c r="O213" s="265"/>
      <c r="P213" s="265"/>
      <c r="Q213" s="266"/>
      <c r="R213" s="243"/>
    </row>
    <row r="214" spans="3:18" customFormat="1" x14ac:dyDescent="0.25">
      <c r="C214" s="243"/>
      <c r="D214" s="45"/>
      <c r="E214" s="45"/>
      <c r="F214" s="45"/>
      <c r="G214" s="45"/>
      <c r="H214" s="45"/>
      <c r="I214" s="265"/>
      <c r="J214" s="265"/>
      <c r="K214" s="45"/>
      <c r="L214" s="243"/>
      <c r="M214" s="243"/>
      <c r="N214" s="265"/>
      <c r="O214" s="265"/>
      <c r="P214" s="265"/>
      <c r="Q214" s="266"/>
      <c r="R214" s="243"/>
    </row>
    <row r="215" spans="3:18" customFormat="1" x14ac:dyDescent="0.25">
      <c r="C215" s="243"/>
      <c r="D215" s="45"/>
      <c r="E215" s="45"/>
      <c r="F215" s="45"/>
      <c r="G215" s="45"/>
      <c r="H215" s="45"/>
      <c r="I215" s="265"/>
      <c r="J215" s="265"/>
      <c r="K215" s="45"/>
      <c r="L215" s="243"/>
      <c r="M215" s="243"/>
      <c r="N215" s="265"/>
      <c r="O215" s="265"/>
      <c r="P215" s="265"/>
      <c r="Q215" s="266"/>
      <c r="R215" s="243"/>
    </row>
    <row r="216" spans="3:18" customFormat="1" x14ac:dyDescent="0.25">
      <c r="C216" s="243"/>
      <c r="D216" s="45"/>
      <c r="E216" s="45"/>
      <c r="F216" s="45"/>
      <c r="G216" s="45"/>
      <c r="H216" s="45"/>
      <c r="I216" s="265"/>
      <c r="J216" s="265"/>
      <c r="K216" s="45"/>
      <c r="L216" s="243"/>
      <c r="M216" s="243"/>
      <c r="N216" s="265"/>
      <c r="O216" s="265"/>
      <c r="P216" s="265"/>
      <c r="Q216" s="266"/>
      <c r="R216" s="243"/>
    </row>
    <row r="217" spans="3:18" customFormat="1" x14ac:dyDescent="0.25">
      <c r="C217" s="243"/>
      <c r="D217" s="45"/>
      <c r="E217" s="45"/>
      <c r="F217" s="45"/>
      <c r="G217" s="45"/>
      <c r="H217" s="45"/>
      <c r="I217" s="265"/>
      <c r="J217" s="265"/>
      <c r="K217" s="45"/>
      <c r="L217" s="243"/>
      <c r="M217" s="243"/>
      <c r="N217" s="265"/>
      <c r="O217" s="265"/>
      <c r="P217" s="265"/>
      <c r="Q217" s="266"/>
      <c r="R217" s="243"/>
    </row>
    <row r="218" spans="3:18" customFormat="1" x14ac:dyDescent="0.25">
      <c r="C218" s="243"/>
      <c r="D218" s="45"/>
      <c r="E218" s="45"/>
      <c r="F218" s="45"/>
      <c r="G218" s="45"/>
      <c r="H218" s="45"/>
      <c r="I218" s="265"/>
      <c r="J218" s="265"/>
      <c r="K218" s="45"/>
      <c r="L218" s="243"/>
      <c r="M218" s="243"/>
      <c r="N218" s="265"/>
      <c r="O218" s="265"/>
      <c r="P218" s="265"/>
      <c r="Q218" s="266"/>
      <c r="R218" s="243"/>
    </row>
    <row r="219" spans="3:18" customFormat="1" x14ac:dyDescent="0.25">
      <c r="C219" s="243"/>
      <c r="D219" s="45"/>
      <c r="E219" s="45"/>
      <c r="F219" s="45"/>
      <c r="G219" s="45"/>
      <c r="H219" s="45"/>
      <c r="I219" s="265"/>
      <c r="J219" s="265"/>
      <c r="K219" s="45"/>
      <c r="L219" s="243"/>
      <c r="M219" s="243"/>
      <c r="N219" s="265"/>
      <c r="O219" s="265"/>
      <c r="P219" s="265"/>
      <c r="Q219" s="266"/>
      <c r="R219" s="243"/>
    </row>
    <row r="220" spans="3:18" customFormat="1" x14ac:dyDescent="0.25">
      <c r="C220" s="243"/>
      <c r="D220" s="45"/>
      <c r="E220" s="45"/>
      <c r="F220" s="45"/>
      <c r="G220" s="45"/>
      <c r="H220" s="45"/>
      <c r="I220" s="265"/>
      <c r="J220" s="265"/>
      <c r="K220" s="45"/>
      <c r="L220" s="243"/>
      <c r="M220" s="243"/>
      <c r="N220" s="265"/>
      <c r="O220" s="265"/>
      <c r="P220" s="265"/>
      <c r="Q220" s="266"/>
      <c r="R220" s="243"/>
    </row>
    <row r="221" spans="3:18" customFormat="1" x14ac:dyDescent="0.25">
      <c r="C221" s="243"/>
      <c r="D221" s="45"/>
      <c r="E221" s="45"/>
      <c r="F221" s="45"/>
      <c r="G221" s="45"/>
      <c r="H221" s="45"/>
      <c r="I221" s="265"/>
      <c r="J221" s="265"/>
      <c r="K221" s="45"/>
      <c r="L221" s="243"/>
      <c r="M221" s="243"/>
      <c r="N221" s="265"/>
      <c r="O221" s="265"/>
      <c r="P221" s="265"/>
      <c r="Q221" s="266"/>
      <c r="R221" s="243"/>
    </row>
    <row r="222" spans="3:18" customFormat="1" x14ac:dyDescent="0.25">
      <c r="C222" s="243"/>
      <c r="D222" s="45"/>
      <c r="E222" s="45"/>
      <c r="F222" s="45"/>
      <c r="G222" s="45"/>
      <c r="H222" s="45"/>
      <c r="I222" s="265"/>
      <c r="J222" s="265"/>
      <c r="K222" s="45"/>
      <c r="L222" s="243"/>
      <c r="M222" s="243"/>
      <c r="N222" s="265"/>
      <c r="O222" s="265"/>
      <c r="P222" s="265"/>
      <c r="Q222" s="266"/>
      <c r="R222" s="243"/>
    </row>
    <row r="223" spans="3:18" customFormat="1" x14ac:dyDescent="0.25">
      <c r="C223" s="243"/>
      <c r="D223" s="45"/>
      <c r="E223" s="45"/>
      <c r="F223" s="45"/>
      <c r="G223" s="45"/>
      <c r="H223" s="45"/>
      <c r="I223" s="265"/>
      <c r="J223" s="265"/>
      <c r="K223" s="45"/>
      <c r="L223" s="243"/>
      <c r="M223" s="243"/>
      <c r="N223" s="265"/>
      <c r="O223" s="265"/>
      <c r="P223" s="265"/>
      <c r="Q223" s="266"/>
      <c r="R223" s="243"/>
    </row>
    <row r="224" spans="3:18" customFormat="1" x14ac:dyDescent="0.25">
      <c r="C224" s="243"/>
      <c r="D224" s="45"/>
      <c r="E224" s="45"/>
      <c r="F224" s="45"/>
      <c r="G224" s="45"/>
      <c r="H224" s="45"/>
      <c r="I224" s="265"/>
      <c r="J224" s="265"/>
      <c r="K224" s="45"/>
      <c r="L224" s="243"/>
      <c r="M224" s="243"/>
      <c r="N224" s="265"/>
      <c r="O224" s="265"/>
      <c r="P224" s="265"/>
      <c r="Q224" s="266"/>
      <c r="R224" s="243"/>
    </row>
    <row r="225" spans="3:18" customFormat="1" x14ac:dyDescent="0.25">
      <c r="C225" s="243"/>
      <c r="D225" s="45"/>
      <c r="E225" s="45"/>
      <c r="F225" s="45"/>
      <c r="G225" s="45"/>
      <c r="H225" s="45"/>
      <c r="I225" s="265"/>
      <c r="J225" s="265"/>
      <c r="K225" s="45"/>
      <c r="L225" s="243"/>
      <c r="M225" s="243"/>
      <c r="N225" s="265"/>
      <c r="O225" s="265"/>
      <c r="P225" s="265"/>
      <c r="Q225" s="266"/>
      <c r="R225" s="243"/>
    </row>
    <row r="226" spans="3:18" customFormat="1" x14ac:dyDescent="0.25">
      <c r="C226" s="243"/>
      <c r="D226" s="45"/>
      <c r="E226" s="45"/>
      <c r="F226" s="45"/>
      <c r="G226" s="45"/>
      <c r="H226" s="45"/>
      <c r="I226" s="265"/>
      <c r="J226" s="265"/>
      <c r="K226" s="45"/>
      <c r="L226" s="243"/>
      <c r="M226" s="243"/>
      <c r="N226" s="265"/>
      <c r="O226" s="265"/>
      <c r="P226" s="265"/>
      <c r="Q226" s="266"/>
      <c r="R226" s="243"/>
    </row>
    <row r="227" spans="3:18" customFormat="1" x14ac:dyDescent="0.25">
      <c r="C227" s="243"/>
      <c r="D227" s="45"/>
      <c r="E227" s="45"/>
      <c r="F227" s="45"/>
      <c r="G227" s="45"/>
      <c r="H227" s="45"/>
      <c r="I227" s="265"/>
      <c r="J227" s="265"/>
      <c r="K227" s="45"/>
      <c r="L227" s="243"/>
      <c r="M227" s="243"/>
      <c r="N227" s="265"/>
      <c r="O227" s="265"/>
      <c r="P227" s="265"/>
      <c r="Q227" s="266"/>
      <c r="R227" s="243"/>
    </row>
    <row r="228" spans="3:18" customFormat="1" x14ac:dyDescent="0.25">
      <c r="C228" s="243"/>
      <c r="D228" s="45"/>
      <c r="E228" s="45"/>
      <c r="F228" s="45"/>
      <c r="G228" s="45"/>
      <c r="H228" s="45"/>
      <c r="I228" s="265"/>
      <c r="J228" s="265"/>
      <c r="K228" s="45"/>
      <c r="L228" s="243"/>
      <c r="M228" s="243"/>
      <c r="N228" s="265"/>
      <c r="O228" s="265"/>
      <c r="P228" s="265"/>
      <c r="Q228" s="266"/>
      <c r="R228" s="243"/>
    </row>
    <row r="229" spans="3:18" customFormat="1" x14ac:dyDescent="0.25">
      <c r="C229" s="243"/>
      <c r="D229" s="45"/>
      <c r="E229" s="45"/>
      <c r="F229" s="45"/>
      <c r="G229" s="45"/>
      <c r="H229" s="45"/>
      <c r="I229" s="265"/>
      <c r="J229" s="265"/>
      <c r="K229" s="45"/>
      <c r="L229" s="243"/>
      <c r="M229" s="243"/>
      <c r="N229" s="265"/>
      <c r="O229" s="265"/>
      <c r="P229" s="265"/>
      <c r="Q229" s="266"/>
      <c r="R229" s="243"/>
    </row>
    <row r="230" spans="3:18" customFormat="1" x14ac:dyDescent="0.25">
      <c r="C230" s="243"/>
      <c r="D230" s="45"/>
      <c r="E230" s="45"/>
      <c r="F230" s="45"/>
      <c r="G230" s="45"/>
      <c r="H230" s="45"/>
      <c r="I230" s="265"/>
      <c r="J230" s="265"/>
      <c r="K230" s="45"/>
      <c r="L230" s="243"/>
      <c r="M230" s="243"/>
      <c r="N230" s="265"/>
      <c r="O230" s="265"/>
      <c r="P230" s="265"/>
      <c r="Q230" s="266"/>
      <c r="R230" s="243"/>
    </row>
    <row r="231" spans="3:18" customFormat="1" x14ac:dyDescent="0.25">
      <c r="C231" s="243"/>
      <c r="D231" s="45"/>
      <c r="E231" s="45"/>
      <c r="F231" s="45"/>
      <c r="G231" s="45"/>
      <c r="H231" s="45"/>
      <c r="I231" s="265"/>
      <c r="J231" s="265"/>
      <c r="K231" s="45"/>
      <c r="L231" s="243"/>
      <c r="M231" s="243"/>
      <c r="N231" s="265"/>
      <c r="O231" s="265"/>
      <c r="P231" s="265"/>
      <c r="Q231" s="266"/>
      <c r="R231" s="243"/>
    </row>
    <row r="232" spans="3:18" customFormat="1" x14ac:dyDescent="0.25">
      <c r="C232" s="243"/>
      <c r="D232" s="45"/>
      <c r="E232" s="45"/>
      <c r="F232" s="45"/>
      <c r="G232" s="45"/>
      <c r="H232" s="45"/>
      <c r="I232" s="265"/>
      <c r="J232" s="265"/>
      <c r="K232" s="45"/>
      <c r="L232" s="243"/>
      <c r="M232" s="243"/>
      <c r="N232" s="265"/>
      <c r="O232" s="265"/>
      <c r="P232" s="265"/>
      <c r="Q232" s="266"/>
      <c r="R232" s="243"/>
    </row>
    <row r="233" spans="3:18" customFormat="1" x14ac:dyDescent="0.25">
      <c r="C233" s="243"/>
      <c r="D233" s="45"/>
      <c r="E233" s="45"/>
      <c r="F233" s="45"/>
      <c r="G233" s="45"/>
      <c r="H233" s="45"/>
      <c r="I233" s="265"/>
      <c r="J233" s="265"/>
      <c r="K233" s="45"/>
      <c r="L233" s="243"/>
      <c r="M233" s="243"/>
      <c r="N233" s="265"/>
      <c r="O233" s="265"/>
      <c r="P233" s="265"/>
      <c r="Q233" s="266"/>
      <c r="R233" s="243"/>
    </row>
    <row r="234" spans="3:18" customFormat="1" x14ac:dyDescent="0.25">
      <c r="C234" s="243"/>
      <c r="D234" s="45"/>
      <c r="E234" s="45"/>
      <c r="F234" s="45"/>
      <c r="G234" s="45"/>
      <c r="H234" s="45"/>
      <c r="I234" s="265"/>
      <c r="J234" s="265"/>
      <c r="K234" s="45"/>
      <c r="L234" s="243"/>
      <c r="M234" s="243"/>
      <c r="N234" s="265"/>
      <c r="O234" s="265"/>
      <c r="P234" s="265"/>
      <c r="Q234" s="266"/>
      <c r="R234" s="243"/>
    </row>
    <row r="235" spans="3:18" customFormat="1" x14ac:dyDescent="0.25">
      <c r="C235" s="243"/>
      <c r="D235" s="45"/>
      <c r="E235" s="45"/>
      <c r="F235" s="45"/>
      <c r="G235" s="45"/>
      <c r="H235" s="45"/>
      <c r="I235" s="265"/>
      <c r="J235" s="265"/>
      <c r="K235" s="45"/>
      <c r="L235" s="243"/>
      <c r="M235" s="243"/>
      <c r="N235" s="265"/>
      <c r="O235" s="265"/>
      <c r="P235" s="265"/>
      <c r="Q235" s="266"/>
      <c r="R235" s="243"/>
    </row>
    <row r="236" spans="3:18" customFormat="1" x14ac:dyDescent="0.25">
      <c r="C236" s="243"/>
      <c r="D236" s="45"/>
      <c r="E236" s="45"/>
      <c r="F236" s="45"/>
      <c r="G236" s="45"/>
      <c r="H236" s="45"/>
      <c r="I236" s="265"/>
      <c r="J236" s="265"/>
      <c r="K236" s="45"/>
      <c r="L236" s="243"/>
      <c r="M236" s="243"/>
      <c r="N236" s="265"/>
      <c r="O236" s="265"/>
      <c r="P236" s="265"/>
      <c r="Q236" s="266"/>
      <c r="R236" s="243"/>
    </row>
    <row r="237" spans="3:18" customFormat="1" x14ac:dyDescent="0.25">
      <c r="C237" s="243"/>
      <c r="D237" s="45"/>
      <c r="E237" s="45"/>
      <c r="F237" s="45"/>
      <c r="G237" s="45"/>
      <c r="H237" s="45"/>
      <c r="I237" s="265"/>
      <c r="J237" s="265"/>
      <c r="K237" s="45"/>
      <c r="L237" s="243"/>
      <c r="M237" s="243"/>
      <c r="N237" s="265"/>
      <c r="O237" s="265"/>
      <c r="P237" s="265"/>
      <c r="Q237" s="266"/>
      <c r="R237" s="243"/>
    </row>
    <row r="238" spans="3:18" customFormat="1" x14ac:dyDescent="0.25">
      <c r="C238" s="243"/>
      <c r="D238" s="45"/>
      <c r="E238" s="45"/>
      <c r="F238" s="45"/>
      <c r="G238" s="45"/>
      <c r="H238" s="45"/>
      <c r="I238" s="265"/>
      <c r="J238" s="265"/>
      <c r="K238" s="45"/>
      <c r="L238" s="243"/>
      <c r="M238" s="243"/>
      <c r="N238" s="265"/>
      <c r="O238" s="265"/>
      <c r="P238" s="265"/>
      <c r="Q238" s="266"/>
      <c r="R238" s="243"/>
    </row>
    <row r="239" spans="3:18" customFormat="1" x14ac:dyDescent="0.25">
      <c r="C239" s="243"/>
      <c r="D239" s="45"/>
      <c r="E239" s="45"/>
      <c r="F239" s="45"/>
      <c r="G239" s="45"/>
      <c r="H239" s="45"/>
      <c r="I239" s="265"/>
      <c r="J239" s="265"/>
      <c r="K239" s="45"/>
      <c r="L239" s="243"/>
      <c r="M239" s="243"/>
      <c r="N239" s="265"/>
      <c r="O239" s="265"/>
      <c r="P239" s="265"/>
      <c r="Q239" s="266"/>
      <c r="R239" s="243"/>
    </row>
    <row r="240" spans="3:18" customFormat="1" x14ac:dyDescent="0.25">
      <c r="C240" s="243"/>
      <c r="D240" s="45"/>
      <c r="E240" s="45"/>
      <c r="F240" s="45"/>
      <c r="G240" s="45"/>
      <c r="H240" s="45"/>
      <c r="I240" s="265"/>
      <c r="J240" s="265"/>
      <c r="K240" s="45"/>
      <c r="L240" s="243"/>
      <c r="M240" s="243"/>
      <c r="N240" s="265"/>
      <c r="O240" s="265"/>
      <c r="P240" s="265"/>
      <c r="Q240" s="266"/>
      <c r="R240" s="243"/>
    </row>
    <row r="241" spans="3:18" customFormat="1" x14ac:dyDescent="0.25">
      <c r="C241" s="243"/>
      <c r="D241" s="45"/>
      <c r="E241" s="45"/>
      <c r="F241" s="45"/>
      <c r="G241" s="45"/>
      <c r="H241" s="45"/>
      <c r="I241" s="265"/>
      <c r="J241" s="265"/>
      <c r="K241" s="45"/>
      <c r="L241" s="243"/>
      <c r="M241" s="243"/>
      <c r="N241" s="265"/>
      <c r="O241" s="265"/>
      <c r="P241" s="265"/>
      <c r="Q241" s="266"/>
      <c r="R241" s="243"/>
    </row>
    <row r="242" spans="3:18" customFormat="1" x14ac:dyDescent="0.25">
      <c r="C242" s="243"/>
      <c r="D242" s="45"/>
      <c r="E242" s="45"/>
      <c r="F242" s="45"/>
      <c r="G242" s="45"/>
      <c r="H242" s="45"/>
      <c r="I242" s="265"/>
      <c r="J242" s="265"/>
      <c r="K242" s="45"/>
      <c r="L242" s="243"/>
      <c r="M242" s="243"/>
      <c r="N242" s="265"/>
      <c r="O242" s="265"/>
      <c r="P242" s="265"/>
      <c r="Q242" s="266"/>
      <c r="R242" s="243"/>
    </row>
    <row r="243" spans="3:18" customFormat="1" x14ac:dyDescent="0.25">
      <c r="C243" s="243"/>
      <c r="D243" s="45"/>
      <c r="E243" s="45"/>
      <c r="F243" s="45"/>
      <c r="G243" s="45"/>
      <c r="H243" s="45"/>
      <c r="I243" s="265"/>
      <c r="J243" s="265"/>
      <c r="K243" s="45"/>
      <c r="L243" s="243"/>
      <c r="M243" s="243"/>
      <c r="N243" s="265"/>
      <c r="O243" s="265"/>
      <c r="P243" s="265"/>
      <c r="Q243" s="266"/>
      <c r="R243" s="243"/>
    </row>
    <row r="244" spans="3:18" customFormat="1" x14ac:dyDescent="0.25">
      <c r="C244" s="243"/>
      <c r="D244" s="45"/>
      <c r="E244" s="45"/>
      <c r="F244" s="45"/>
      <c r="G244" s="45"/>
      <c r="H244" s="45"/>
      <c r="I244" s="265"/>
      <c r="J244" s="265"/>
      <c r="K244" s="45"/>
      <c r="L244" s="243"/>
      <c r="M244" s="243"/>
      <c r="N244" s="265"/>
      <c r="O244" s="265"/>
      <c r="P244" s="265"/>
      <c r="Q244" s="266"/>
      <c r="R244" s="243"/>
    </row>
    <row r="245" spans="3:18" customFormat="1" x14ac:dyDescent="0.25">
      <c r="C245" s="243"/>
      <c r="D245" s="45"/>
      <c r="E245" s="45"/>
      <c r="F245" s="45"/>
      <c r="G245" s="45"/>
      <c r="H245" s="45"/>
      <c r="I245" s="265"/>
      <c r="J245" s="265"/>
      <c r="K245" s="45"/>
      <c r="L245" s="243"/>
      <c r="M245" s="243"/>
      <c r="N245" s="265"/>
      <c r="O245" s="265"/>
      <c r="P245" s="265"/>
      <c r="Q245" s="266"/>
      <c r="R245" s="243"/>
    </row>
    <row r="246" spans="3:18" customFormat="1" x14ac:dyDescent="0.25">
      <c r="C246" s="243"/>
      <c r="D246" s="45"/>
      <c r="E246" s="45"/>
      <c r="F246" s="45"/>
      <c r="G246" s="45"/>
      <c r="H246" s="45"/>
      <c r="I246" s="265"/>
      <c r="J246" s="265"/>
      <c r="K246" s="45"/>
      <c r="L246" s="243"/>
      <c r="M246" s="243"/>
      <c r="N246" s="265"/>
      <c r="O246" s="265"/>
      <c r="P246" s="265"/>
      <c r="Q246" s="266"/>
      <c r="R246" s="243"/>
    </row>
    <row r="247" spans="3:18" customFormat="1" x14ac:dyDescent="0.25">
      <c r="C247" s="243"/>
      <c r="D247" s="45"/>
      <c r="E247" s="45"/>
      <c r="F247" s="45"/>
      <c r="G247" s="45"/>
      <c r="H247" s="45"/>
      <c r="I247" s="265"/>
      <c r="J247" s="265"/>
      <c r="K247" s="45"/>
      <c r="L247" s="243"/>
      <c r="M247" s="243"/>
      <c r="N247" s="265"/>
      <c r="O247" s="265"/>
      <c r="P247" s="265"/>
      <c r="Q247" s="266"/>
      <c r="R247" s="243"/>
    </row>
    <row r="248" spans="3:18" customFormat="1" x14ac:dyDescent="0.25">
      <c r="C248" s="243"/>
      <c r="D248" s="45"/>
      <c r="E248" s="45"/>
      <c r="F248" s="45"/>
      <c r="G248" s="45"/>
      <c r="H248" s="45"/>
      <c r="I248" s="265"/>
      <c r="J248" s="265"/>
      <c r="K248" s="45"/>
      <c r="L248" s="243"/>
      <c r="M248" s="243"/>
      <c r="N248" s="265"/>
      <c r="O248" s="265"/>
      <c r="P248" s="265"/>
      <c r="Q248" s="266"/>
      <c r="R248" s="243"/>
    </row>
    <row r="249" spans="3:18" customFormat="1" x14ac:dyDescent="0.25">
      <c r="C249" s="243"/>
      <c r="D249" s="45"/>
      <c r="E249" s="45"/>
      <c r="F249" s="45"/>
      <c r="G249" s="45"/>
      <c r="H249" s="45"/>
      <c r="I249" s="265"/>
      <c r="J249" s="265"/>
      <c r="K249" s="45"/>
      <c r="L249" s="243"/>
      <c r="M249" s="243"/>
      <c r="N249" s="265"/>
      <c r="O249" s="265"/>
      <c r="P249" s="265"/>
      <c r="Q249" s="266"/>
      <c r="R249" s="243"/>
    </row>
    <row r="250" spans="3:18" customFormat="1" x14ac:dyDescent="0.25">
      <c r="C250" s="243"/>
      <c r="D250" s="45"/>
      <c r="E250" s="45"/>
      <c r="F250" s="45"/>
      <c r="G250" s="45"/>
      <c r="H250" s="45"/>
      <c r="I250" s="265"/>
      <c r="J250" s="265"/>
      <c r="K250" s="45"/>
      <c r="L250" s="243"/>
      <c r="M250" s="243"/>
      <c r="N250" s="265"/>
      <c r="O250" s="265"/>
      <c r="P250" s="265"/>
      <c r="Q250" s="266"/>
      <c r="R250" s="243"/>
    </row>
    <row r="251" spans="3:18" customFormat="1" x14ac:dyDescent="0.25">
      <c r="C251" s="243"/>
      <c r="D251" s="45"/>
      <c r="E251" s="45"/>
      <c r="F251" s="45"/>
      <c r="G251" s="45"/>
      <c r="H251" s="45"/>
      <c r="I251" s="265"/>
      <c r="J251" s="265"/>
      <c r="K251" s="45"/>
      <c r="L251" s="243"/>
      <c r="M251" s="243"/>
      <c r="N251" s="265"/>
      <c r="O251" s="265"/>
      <c r="P251" s="265"/>
      <c r="Q251" s="266"/>
      <c r="R251" s="243"/>
    </row>
    <row r="252" spans="3:18" customFormat="1" x14ac:dyDescent="0.25">
      <c r="C252" s="243"/>
      <c r="D252" s="45"/>
      <c r="E252" s="45"/>
      <c r="F252" s="45"/>
      <c r="G252" s="45"/>
      <c r="H252" s="45"/>
      <c r="I252" s="265"/>
      <c r="J252" s="265"/>
      <c r="K252" s="45"/>
      <c r="L252" s="243"/>
      <c r="M252" s="243"/>
      <c r="N252" s="265"/>
      <c r="O252" s="265"/>
      <c r="P252" s="265"/>
      <c r="Q252" s="266"/>
      <c r="R252" s="243"/>
    </row>
    <row r="253" spans="3:18" customFormat="1" x14ac:dyDescent="0.25">
      <c r="C253" s="243"/>
      <c r="D253" s="45"/>
      <c r="E253" s="45"/>
      <c r="F253" s="45"/>
      <c r="G253" s="45"/>
      <c r="H253" s="45"/>
      <c r="I253" s="265"/>
      <c r="J253" s="265"/>
      <c r="K253" s="45"/>
      <c r="L253" s="243"/>
      <c r="M253" s="243"/>
      <c r="N253" s="265"/>
      <c r="O253" s="265"/>
      <c r="P253" s="265"/>
      <c r="Q253" s="266"/>
      <c r="R253" s="243"/>
    </row>
    <row r="254" spans="3:18" customFormat="1" x14ac:dyDescent="0.25">
      <c r="C254" s="243"/>
      <c r="D254" s="45"/>
      <c r="E254" s="45"/>
      <c r="F254" s="45"/>
      <c r="G254" s="45"/>
      <c r="H254" s="45"/>
      <c r="I254" s="265"/>
      <c r="J254" s="265"/>
      <c r="K254" s="45"/>
      <c r="L254" s="243"/>
      <c r="M254" s="243"/>
      <c r="N254" s="265"/>
      <c r="O254" s="265"/>
      <c r="P254" s="265"/>
      <c r="Q254" s="266"/>
      <c r="R254" s="243"/>
    </row>
    <row r="255" spans="3:18" customFormat="1" x14ac:dyDescent="0.25">
      <c r="C255" s="243"/>
      <c r="D255" s="45"/>
      <c r="E255" s="45"/>
      <c r="F255" s="45"/>
      <c r="G255" s="45"/>
      <c r="H255" s="45"/>
      <c r="I255" s="265"/>
      <c r="J255" s="265"/>
      <c r="K255" s="45"/>
      <c r="L255" s="243"/>
      <c r="M255" s="243"/>
      <c r="N255" s="265"/>
      <c r="O255" s="265"/>
      <c r="P255" s="265"/>
      <c r="Q255" s="266"/>
      <c r="R255" s="243"/>
    </row>
    <row r="256" spans="3:18" customFormat="1" x14ac:dyDescent="0.25">
      <c r="C256" s="243"/>
      <c r="D256" s="45"/>
      <c r="E256" s="45"/>
      <c r="F256" s="45"/>
      <c r="G256" s="45"/>
      <c r="H256" s="45"/>
      <c r="I256" s="265"/>
      <c r="J256" s="265"/>
      <c r="K256" s="45"/>
      <c r="L256" s="243"/>
      <c r="M256" s="243"/>
      <c r="N256" s="265"/>
      <c r="O256" s="265"/>
      <c r="P256" s="265"/>
      <c r="Q256" s="266"/>
      <c r="R256" s="243"/>
    </row>
    <row r="257" spans="3:18" customFormat="1" x14ac:dyDescent="0.25">
      <c r="C257" s="243"/>
      <c r="D257" s="45"/>
      <c r="E257" s="45"/>
      <c r="F257" s="45"/>
      <c r="G257" s="45"/>
      <c r="H257" s="45"/>
      <c r="I257" s="265"/>
      <c r="J257" s="265"/>
      <c r="K257" s="45"/>
      <c r="L257" s="243"/>
      <c r="M257" s="243"/>
      <c r="N257" s="265"/>
      <c r="O257" s="265"/>
      <c r="P257" s="265"/>
      <c r="Q257" s="266"/>
      <c r="R257" s="243"/>
    </row>
    <row r="258" spans="3:18" customFormat="1" x14ac:dyDescent="0.25">
      <c r="C258" s="243"/>
      <c r="D258" s="45"/>
      <c r="E258" s="45"/>
      <c r="F258" s="45"/>
      <c r="G258" s="45"/>
      <c r="H258" s="45"/>
      <c r="I258" s="265"/>
      <c r="J258" s="265"/>
      <c r="K258" s="45"/>
      <c r="L258" s="243"/>
      <c r="M258" s="243"/>
      <c r="N258" s="265"/>
      <c r="O258" s="265"/>
      <c r="P258" s="265"/>
      <c r="Q258" s="266"/>
      <c r="R258" s="243"/>
    </row>
    <row r="259" spans="3:18" customFormat="1" x14ac:dyDescent="0.25">
      <c r="C259" s="243"/>
      <c r="D259" s="45"/>
      <c r="E259" s="45"/>
      <c r="F259" s="45"/>
      <c r="G259" s="45"/>
      <c r="H259" s="45"/>
      <c r="I259" s="265"/>
      <c r="J259" s="265"/>
      <c r="K259" s="45"/>
      <c r="L259" s="243"/>
      <c r="M259" s="243"/>
      <c r="N259" s="265"/>
      <c r="O259" s="265"/>
      <c r="P259" s="265"/>
      <c r="Q259" s="266"/>
      <c r="R259" s="243"/>
    </row>
    <row r="260" spans="3:18" customFormat="1" x14ac:dyDescent="0.25">
      <c r="C260" s="243"/>
      <c r="D260" s="45"/>
      <c r="E260" s="45"/>
      <c r="F260" s="45"/>
      <c r="G260" s="45"/>
      <c r="H260" s="45"/>
      <c r="I260" s="265"/>
      <c r="J260" s="265"/>
      <c r="K260" s="45"/>
      <c r="L260" s="243"/>
      <c r="M260" s="243"/>
      <c r="N260" s="265"/>
      <c r="O260" s="265"/>
      <c r="P260" s="265"/>
      <c r="Q260" s="266"/>
      <c r="R260" s="243"/>
    </row>
    <row r="261" spans="3:18" customFormat="1" x14ac:dyDescent="0.25">
      <c r="C261" s="243"/>
      <c r="D261" s="45"/>
      <c r="E261" s="45"/>
      <c r="F261" s="45"/>
      <c r="G261" s="45"/>
      <c r="H261" s="45"/>
      <c r="I261" s="265"/>
      <c r="J261" s="265"/>
      <c r="K261" s="45"/>
      <c r="L261" s="243"/>
      <c r="M261" s="243"/>
      <c r="N261" s="265"/>
      <c r="O261" s="265"/>
      <c r="P261" s="265"/>
      <c r="Q261" s="266"/>
      <c r="R261" s="243"/>
    </row>
    <row r="262" spans="3:18" customFormat="1" x14ac:dyDescent="0.25">
      <c r="C262" s="243"/>
      <c r="D262" s="45"/>
      <c r="E262" s="45"/>
      <c r="F262" s="45"/>
      <c r="G262" s="45"/>
      <c r="H262" s="45"/>
      <c r="I262" s="265"/>
      <c r="J262" s="265"/>
      <c r="K262" s="45"/>
      <c r="L262" s="243"/>
      <c r="M262" s="243"/>
      <c r="N262" s="265"/>
      <c r="O262" s="265"/>
      <c r="P262" s="265"/>
      <c r="Q262" s="266"/>
      <c r="R262" s="243"/>
    </row>
    <row r="263" spans="3:18" customFormat="1" x14ac:dyDescent="0.25">
      <c r="C263" s="243"/>
      <c r="D263" s="45"/>
      <c r="E263" s="45"/>
      <c r="F263" s="45"/>
      <c r="G263" s="45"/>
      <c r="H263" s="45"/>
      <c r="I263" s="265"/>
      <c r="J263" s="265"/>
      <c r="K263" s="45"/>
      <c r="L263" s="243"/>
      <c r="M263" s="243"/>
      <c r="N263" s="265"/>
      <c r="O263" s="265"/>
      <c r="P263" s="265"/>
      <c r="Q263" s="266"/>
      <c r="R263" s="243"/>
    </row>
    <row r="264" spans="3:18" customFormat="1" x14ac:dyDescent="0.25">
      <c r="C264" s="243"/>
      <c r="D264" s="45"/>
      <c r="E264" s="45"/>
      <c r="F264" s="45"/>
      <c r="G264" s="45"/>
      <c r="H264" s="45"/>
      <c r="I264" s="265"/>
      <c r="J264" s="265"/>
      <c r="K264" s="45"/>
      <c r="L264" s="243"/>
      <c r="M264" s="243"/>
      <c r="N264" s="265"/>
      <c r="O264" s="265"/>
      <c r="P264" s="265"/>
      <c r="Q264" s="266"/>
      <c r="R264" s="243"/>
    </row>
    <row r="265" spans="3:18" customFormat="1" x14ac:dyDescent="0.25">
      <c r="C265" s="243"/>
      <c r="D265" s="45"/>
      <c r="E265" s="45"/>
      <c r="F265" s="45"/>
      <c r="G265" s="45"/>
      <c r="H265" s="45"/>
      <c r="I265" s="265"/>
      <c r="J265" s="265"/>
      <c r="K265" s="45"/>
      <c r="L265" s="243"/>
      <c r="M265" s="243"/>
      <c r="N265" s="265"/>
      <c r="O265" s="265"/>
      <c r="P265" s="265"/>
      <c r="Q265" s="266"/>
      <c r="R265" s="243"/>
    </row>
    <row r="266" spans="3:18" customFormat="1" x14ac:dyDescent="0.25">
      <c r="C266" s="243"/>
      <c r="D266" s="45"/>
      <c r="E266" s="45"/>
      <c r="F266" s="45"/>
      <c r="G266" s="45"/>
      <c r="H266" s="45"/>
      <c r="I266" s="265"/>
      <c r="J266" s="265"/>
      <c r="K266" s="45"/>
      <c r="L266" s="243"/>
      <c r="M266" s="243"/>
      <c r="N266" s="265"/>
      <c r="O266" s="265"/>
      <c r="P266" s="265"/>
      <c r="Q266" s="266"/>
      <c r="R266" s="243"/>
    </row>
    <row r="267" spans="3:18" customFormat="1" x14ac:dyDescent="0.25">
      <c r="C267" s="243"/>
      <c r="D267" s="45"/>
      <c r="E267" s="45"/>
      <c r="F267" s="45"/>
      <c r="G267" s="45"/>
      <c r="H267" s="45"/>
      <c r="I267" s="265"/>
      <c r="J267" s="265"/>
      <c r="K267" s="45"/>
      <c r="L267" s="243"/>
      <c r="M267" s="243"/>
      <c r="N267" s="265"/>
      <c r="O267" s="265"/>
      <c r="P267" s="265"/>
      <c r="Q267" s="266"/>
      <c r="R267" s="243"/>
    </row>
    <row r="268" spans="3:18" customFormat="1" x14ac:dyDescent="0.25">
      <c r="C268" s="243"/>
      <c r="D268" s="45"/>
      <c r="E268" s="45"/>
      <c r="F268" s="45"/>
      <c r="G268" s="45"/>
      <c r="H268" s="45"/>
      <c r="I268" s="265"/>
      <c r="J268" s="265"/>
      <c r="K268" s="45"/>
      <c r="L268" s="243"/>
      <c r="M268" s="243"/>
      <c r="N268" s="265"/>
      <c r="O268" s="265"/>
      <c r="P268" s="265"/>
      <c r="Q268" s="266"/>
      <c r="R268" s="243"/>
    </row>
    <row r="269" spans="3:18" customFormat="1" x14ac:dyDescent="0.25">
      <c r="C269" s="243"/>
      <c r="D269" s="45"/>
      <c r="E269" s="45"/>
      <c r="F269" s="45"/>
      <c r="G269" s="45"/>
      <c r="H269" s="45"/>
      <c r="I269" s="265"/>
      <c r="J269" s="265"/>
      <c r="K269" s="45"/>
      <c r="L269" s="243"/>
      <c r="M269" s="243"/>
      <c r="N269" s="265"/>
      <c r="O269" s="265"/>
      <c r="P269" s="265"/>
      <c r="Q269" s="266"/>
      <c r="R269" s="243"/>
    </row>
    <row r="270" spans="3:18" customFormat="1" x14ac:dyDescent="0.25">
      <c r="C270" s="243"/>
      <c r="D270" s="45"/>
      <c r="E270" s="45"/>
      <c r="F270" s="45"/>
      <c r="G270" s="45"/>
      <c r="H270" s="45"/>
      <c r="I270" s="265"/>
      <c r="J270" s="265"/>
      <c r="K270" s="45"/>
      <c r="L270" s="243"/>
      <c r="M270" s="243"/>
      <c r="N270" s="265"/>
      <c r="O270" s="265"/>
      <c r="P270" s="265"/>
      <c r="Q270" s="266"/>
      <c r="R270" s="243"/>
    </row>
    <row r="271" spans="3:18" customFormat="1" x14ac:dyDescent="0.25">
      <c r="C271" s="243"/>
      <c r="D271" s="45"/>
      <c r="E271" s="45"/>
      <c r="F271" s="45"/>
      <c r="G271" s="45"/>
      <c r="H271" s="45"/>
      <c r="I271" s="265"/>
      <c r="J271" s="265"/>
      <c r="K271" s="45"/>
      <c r="L271" s="243"/>
      <c r="M271" s="243"/>
      <c r="N271" s="265"/>
      <c r="O271" s="265"/>
      <c r="P271" s="265"/>
      <c r="Q271" s="266"/>
      <c r="R271" s="243"/>
    </row>
    <row r="272" spans="3:18" customFormat="1" x14ac:dyDescent="0.25">
      <c r="C272" s="243"/>
      <c r="D272" s="45"/>
      <c r="E272" s="45"/>
      <c r="F272" s="45"/>
      <c r="G272" s="45"/>
      <c r="H272" s="45"/>
      <c r="I272" s="265"/>
      <c r="J272" s="265"/>
      <c r="K272" s="45"/>
      <c r="L272" s="243"/>
      <c r="M272" s="243"/>
      <c r="N272" s="265"/>
      <c r="O272" s="265"/>
      <c r="P272" s="265"/>
      <c r="Q272" s="266"/>
      <c r="R272" s="243"/>
    </row>
    <row r="273" spans="3:18" customFormat="1" x14ac:dyDescent="0.25">
      <c r="C273" s="243"/>
      <c r="D273" s="45"/>
      <c r="E273" s="45"/>
      <c r="F273" s="45"/>
      <c r="G273" s="45"/>
      <c r="H273" s="45"/>
      <c r="I273" s="265"/>
      <c r="J273" s="265"/>
      <c r="K273" s="45"/>
      <c r="L273" s="243"/>
      <c r="M273" s="243"/>
      <c r="N273" s="265"/>
      <c r="O273" s="265"/>
      <c r="P273" s="265"/>
      <c r="Q273" s="266"/>
      <c r="R273" s="243"/>
    </row>
    <row r="274" spans="3:18" customFormat="1" x14ac:dyDescent="0.25">
      <c r="C274" s="243"/>
      <c r="D274" s="45"/>
      <c r="E274" s="45"/>
      <c r="F274" s="45"/>
      <c r="G274" s="45"/>
      <c r="H274" s="45"/>
      <c r="I274" s="265"/>
      <c r="J274" s="265"/>
      <c r="K274" s="45"/>
      <c r="L274" s="243"/>
      <c r="M274" s="243"/>
      <c r="N274" s="265"/>
      <c r="O274" s="265"/>
      <c r="P274" s="265"/>
      <c r="Q274" s="266"/>
      <c r="R274" s="243"/>
    </row>
    <row r="275" spans="3:18" customFormat="1" x14ac:dyDescent="0.25">
      <c r="C275" s="243"/>
      <c r="D275" s="45"/>
      <c r="E275" s="45"/>
      <c r="F275" s="45"/>
      <c r="G275" s="45"/>
      <c r="H275" s="45"/>
      <c r="I275" s="265"/>
      <c r="J275" s="265"/>
      <c r="K275" s="45"/>
      <c r="L275" s="243"/>
      <c r="M275" s="243"/>
      <c r="N275" s="265"/>
      <c r="O275" s="265"/>
      <c r="P275" s="265"/>
      <c r="Q275" s="266"/>
      <c r="R275" s="243"/>
    </row>
    <row r="276" spans="3:18" customFormat="1" x14ac:dyDescent="0.25">
      <c r="C276" s="243"/>
      <c r="D276" s="45"/>
      <c r="E276" s="45"/>
      <c r="F276" s="45"/>
      <c r="G276" s="45"/>
      <c r="H276" s="45"/>
      <c r="I276" s="265"/>
      <c r="J276" s="265"/>
      <c r="K276" s="45"/>
      <c r="L276" s="243"/>
      <c r="M276" s="243"/>
      <c r="N276" s="265"/>
      <c r="O276" s="265"/>
      <c r="P276" s="265"/>
      <c r="Q276" s="266"/>
      <c r="R276" s="243"/>
    </row>
    <row r="277" spans="3:18" customFormat="1" x14ac:dyDescent="0.25">
      <c r="C277" s="243"/>
      <c r="D277" s="45"/>
      <c r="E277" s="45"/>
      <c r="F277" s="45"/>
      <c r="G277" s="45"/>
      <c r="H277" s="45"/>
      <c r="I277" s="265"/>
      <c r="J277" s="265"/>
      <c r="K277" s="45"/>
      <c r="L277" s="243"/>
      <c r="M277" s="243"/>
      <c r="N277" s="265"/>
      <c r="O277" s="265"/>
      <c r="P277" s="265"/>
      <c r="Q277" s="266"/>
      <c r="R277" s="243"/>
    </row>
    <row r="278" spans="3:18" customFormat="1" x14ac:dyDescent="0.25">
      <c r="C278" s="243"/>
      <c r="D278" s="45"/>
      <c r="E278" s="45"/>
      <c r="F278" s="45"/>
      <c r="G278" s="45"/>
      <c r="H278" s="45"/>
      <c r="I278" s="265"/>
      <c r="J278" s="265"/>
      <c r="K278" s="45"/>
      <c r="L278" s="243"/>
      <c r="M278" s="243"/>
      <c r="N278" s="265"/>
      <c r="O278" s="265"/>
      <c r="P278" s="265"/>
      <c r="Q278" s="266"/>
      <c r="R278" s="243"/>
    </row>
    <row r="279" spans="3:18" customFormat="1" x14ac:dyDescent="0.25">
      <c r="C279" s="243"/>
      <c r="D279" s="45"/>
      <c r="E279" s="45"/>
      <c r="F279" s="45"/>
      <c r="G279" s="45"/>
      <c r="H279" s="45"/>
      <c r="I279" s="265"/>
      <c r="J279" s="265"/>
      <c r="K279" s="45"/>
      <c r="L279" s="243"/>
      <c r="M279" s="243"/>
      <c r="N279" s="265"/>
      <c r="O279" s="265"/>
      <c r="P279" s="265"/>
      <c r="Q279" s="266"/>
      <c r="R279" s="243"/>
    </row>
    <row r="280" spans="3:18" customFormat="1" x14ac:dyDescent="0.25">
      <c r="C280" s="243"/>
      <c r="D280" s="45"/>
      <c r="E280" s="45"/>
      <c r="F280" s="45"/>
      <c r="G280" s="45"/>
      <c r="H280" s="45"/>
      <c r="I280" s="265"/>
      <c r="J280" s="265"/>
      <c r="K280" s="45"/>
      <c r="L280" s="243"/>
      <c r="M280" s="243"/>
      <c r="N280" s="265"/>
      <c r="O280" s="265"/>
      <c r="P280" s="265"/>
      <c r="Q280" s="266"/>
      <c r="R280" s="243"/>
    </row>
    <row r="281" spans="3:18" customFormat="1" x14ac:dyDescent="0.25">
      <c r="C281" s="243"/>
      <c r="D281" s="45"/>
      <c r="E281" s="45"/>
      <c r="F281" s="45"/>
      <c r="G281" s="45"/>
      <c r="H281" s="45"/>
      <c r="I281" s="265"/>
      <c r="J281" s="265"/>
      <c r="K281" s="45"/>
      <c r="L281" s="243"/>
      <c r="M281" s="243"/>
      <c r="N281" s="265"/>
      <c r="O281" s="265"/>
      <c r="P281" s="265"/>
      <c r="Q281" s="266"/>
      <c r="R281" s="243"/>
    </row>
    <row r="282" spans="3:18" customFormat="1" x14ac:dyDescent="0.25">
      <c r="C282" s="243"/>
      <c r="D282" s="45"/>
      <c r="E282" s="45"/>
      <c r="F282" s="45"/>
      <c r="G282" s="45"/>
      <c r="H282" s="45"/>
      <c r="I282" s="265"/>
      <c r="J282" s="265"/>
      <c r="K282" s="45"/>
      <c r="L282" s="243"/>
      <c r="M282" s="243"/>
      <c r="N282" s="265"/>
      <c r="O282" s="265"/>
      <c r="P282" s="265"/>
      <c r="Q282" s="266"/>
      <c r="R282" s="243"/>
    </row>
    <row r="283" spans="3:18" customFormat="1" x14ac:dyDescent="0.25">
      <c r="C283" s="243"/>
      <c r="D283" s="45"/>
      <c r="E283" s="45"/>
      <c r="F283" s="45"/>
      <c r="G283" s="45"/>
      <c r="H283" s="45"/>
      <c r="I283" s="265"/>
      <c r="J283" s="265"/>
      <c r="K283" s="45"/>
      <c r="L283" s="243"/>
      <c r="M283" s="243"/>
      <c r="N283" s="265"/>
      <c r="O283" s="265"/>
      <c r="P283" s="265"/>
      <c r="Q283" s="266"/>
      <c r="R283" s="243"/>
    </row>
    <row r="284" spans="3:18" customFormat="1" x14ac:dyDescent="0.25">
      <c r="C284" s="243"/>
      <c r="D284" s="45"/>
      <c r="E284" s="45"/>
      <c r="F284" s="45"/>
      <c r="G284" s="45"/>
      <c r="H284" s="45"/>
      <c r="I284" s="265"/>
      <c r="J284" s="265"/>
      <c r="K284" s="45"/>
      <c r="L284" s="243"/>
      <c r="M284" s="243"/>
      <c r="N284" s="265"/>
      <c r="O284" s="265"/>
      <c r="P284" s="265"/>
      <c r="Q284" s="266"/>
      <c r="R284" s="243"/>
    </row>
    <row r="285" spans="3:18" customFormat="1" x14ac:dyDescent="0.25">
      <c r="C285" s="243"/>
      <c r="D285" s="45"/>
      <c r="E285" s="45"/>
      <c r="F285" s="45"/>
      <c r="G285" s="45"/>
      <c r="H285" s="45"/>
      <c r="I285" s="265"/>
      <c r="J285" s="265"/>
      <c r="K285" s="45"/>
      <c r="L285" s="243"/>
      <c r="M285" s="243"/>
      <c r="N285" s="265"/>
      <c r="O285" s="265"/>
      <c r="P285" s="265"/>
      <c r="Q285" s="266"/>
      <c r="R285" s="243"/>
    </row>
    <row r="286" spans="3:18" customFormat="1" x14ac:dyDescent="0.25">
      <c r="C286" s="243"/>
      <c r="D286" s="45"/>
      <c r="E286" s="45"/>
      <c r="F286" s="45"/>
      <c r="G286" s="45"/>
      <c r="H286" s="45"/>
      <c r="I286" s="265"/>
      <c r="J286" s="265"/>
      <c r="K286" s="45"/>
      <c r="L286" s="243"/>
      <c r="M286" s="243"/>
      <c r="N286" s="265"/>
      <c r="O286" s="265"/>
      <c r="P286" s="265"/>
      <c r="Q286" s="266"/>
      <c r="R286" s="243"/>
    </row>
    <row r="287" spans="3:18" customFormat="1" x14ac:dyDescent="0.25">
      <c r="C287" s="243"/>
      <c r="D287" s="45"/>
      <c r="E287" s="45"/>
      <c r="F287" s="45"/>
      <c r="G287" s="45"/>
      <c r="H287" s="45"/>
      <c r="I287" s="265"/>
      <c r="J287" s="265"/>
      <c r="K287" s="45"/>
      <c r="L287" s="243"/>
      <c r="M287" s="243"/>
      <c r="N287" s="265"/>
      <c r="O287" s="265"/>
      <c r="P287" s="265"/>
      <c r="Q287" s="266"/>
      <c r="R287" s="243"/>
    </row>
    <row r="288" spans="3:18" customFormat="1" x14ac:dyDescent="0.25">
      <c r="C288" s="243"/>
      <c r="D288" s="45"/>
      <c r="E288" s="45"/>
      <c r="F288" s="45"/>
      <c r="G288" s="45"/>
      <c r="H288" s="45"/>
      <c r="I288" s="265"/>
      <c r="J288" s="265"/>
      <c r="K288" s="45"/>
      <c r="L288" s="243"/>
      <c r="M288" s="243"/>
      <c r="N288" s="265"/>
      <c r="O288" s="265"/>
      <c r="P288" s="265"/>
      <c r="Q288" s="266"/>
      <c r="R288" s="243"/>
    </row>
    <row r="289" spans="3:18" customFormat="1" x14ac:dyDescent="0.25">
      <c r="C289" s="243"/>
      <c r="D289" s="45"/>
      <c r="E289" s="45"/>
      <c r="F289" s="45"/>
      <c r="G289" s="45"/>
      <c r="H289" s="45"/>
      <c r="I289" s="265"/>
      <c r="J289" s="265"/>
      <c r="K289" s="45"/>
      <c r="L289" s="243"/>
      <c r="M289" s="243"/>
      <c r="N289" s="265"/>
      <c r="O289" s="265"/>
      <c r="P289" s="265"/>
      <c r="Q289" s="266"/>
      <c r="R289" s="243"/>
    </row>
    <row r="290" spans="3:18" customFormat="1" x14ac:dyDescent="0.25">
      <c r="C290" s="243"/>
      <c r="D290" s="45"/>
      <c r="E290" s="45"/>
      <c r="F290" s="45"/>
      <c r="G290" s="45"/>
      <c r="H290" s="45"/>
      <c r="I290" s="265"/>
      <c r="J290" s="265"/>
      <c r="K290" s="45"/>
      <c r="L290" s="243"/>
      <c r="M290" s="243"/>
      <c r="N290" s="265"/>
      <c r="O290" s="265"/>
      <c r="P290" s="265"/>
      <c r="Q290" s="266"/>
      <c r="R290" s="243"/>
    </row>
    <row r="291" spans="3:18" customFormat="1" x14ac:dyDescent="0.25">
      <c r="C291" s="243"/>
      <c r="D291" s="45"/>
      <c r="E291" s="45"/>
      <c r="F291" s="45"/>
      <c r="G291" s="45"/>
      <c r="H291" s="45"/>
      <c r="I291" s="265"/>
      <c r="J291" s="265"/>
      <c r="K291" s="45"/>
      <c r="L291" s="243"/>
      <c r="M291" s="243"/>
      <c r="N291" s="265"/>
      <c r="O291" s="265"/>
      <c r="P291" s="265"/>
      <c r="Q291" s="266"/>
      <c r="R291" s="243"/>
    </row>
    <row r="292" spans="3:18" customFormat="1" x14ac:dyDescent="0.25">
      <c r="C292" s="243"/>
      <c r="D292" s="45"/>
      <c r="E292" s="45"/>
      <c r="F292" s="45"/>
      <c r="G292" s="45"/>
      <c r="H292" s="45"/>
      <c r="I292" s="265"/>
      <c r="J292" s="265"/>
      <c r="K292" s="45"/>
      <c r="L292" s="243"/>
      <c r="M292" s="243"/>
      <c r="N292" s="265"/>
      <c r="O292" s="265"/>
      <c r="P292" s="265"/>
      <c r="Q292" s="266"/>
      <c r="R292" s="243"/>
    </row>
    <row r="293" spans="3:18" customFormat="1" x14ac:dyDescent="0.25">
      <c r="C293" s="243"/>
      <c r="D293" s="45"/>
      <c r="E293" s="45"/>
      <c r="F293" s="45"/>
      <c r="G293" s="45"/>
      <c r="H293" s="45"/>
      <c r="I293" s="265"/>
      <c r="J293" s="265"/>
      <c r="K293" s="45"/>
      <c r="L293" s="243"/>
      <c r="M293" s="243"/>
      <c r="N293" s="265"/>
      <c r="O293" s="265"/>
      <c r="P293" s="265"/>
      <c r="Q293" s="266"/>
      <c r="R293" s="243"/>
    </row>
    <row r="294" spans="3:18" customFormat="1" x14ac:dyDescent="0.25">
      <c r="C294" s="243"/>
      <c r="D294" s="45"/>
      <c r="E294" s="45"/>
      <c r="F294" s="45"/>
      <c r="G294" s="45"/>
      <c r="H294" s="45"/>
      <c r="I294" s="265"/>
      <c r="J294" s="265"/>
      <c r="K294" s="45"/>
      <c r="L294" s="243"/>
      <c r="M294" s="243"/>
      <c r="N294" s="265"/>
      <c r="O294" s="265"/>
      <c r="P294" s="265"/>
      <c r="Q294" s="266"/>
      <c r="R294" s="243"/>
    </row>
    <row r="295" spans="3:18" customFormat="1" x14ac:dyDescent="0.25">
      <c r="C295" s="243"/>
      <c r="D295" s="45"/>
      <c r="E295" s="45"/>
      <c r="F295" s="45"/>
      <c r="G295" s="45"/>
      <c r="H295" s="45"/>
      <c r="I295" s="265"/>
      <c r="J295" s="265"/>
      <c r="K295" s="45"/>
      <c r="L295" s="243"/>
      <c r="M295" s="243"/>
      <c r="N295" s="265"/>
      <c r="O295" s="265"/>
      <c r="P295" s="265"/>
      <c r="Q295" s="266"/>
      <c r="R295" s="243"/>
    </row>
    <row r="296" spans="3:18" customFormat="1" x14ac:dyDescent="0.25">
      <c r="C296" s="243"/>
      <c r="D296" s="45"/>
      <c r="E296" s="45"/>
      <c r="F296" s="45"/>
      <c r="G296" s="45"/>
      <c r="H296" s="45"/>
      <c r="I296" s="265"/>
      <c r="J296" s="265"/>
      <c r="K296" s="45"/>
      <c r="L296" s="243"/>
      <c r="M296" s="243"/>
      <c r="N296" s="265"/>
      <c r="O296" s="265"/>
      <c r="P296" s="265"/>
      <c r="Q296" s="266"/>
      <c r="R296" s="243"/>
    </row>
    <row r="297" spans="3:18" customFormat="1" x14ac:dyDescent="0.25">
      <c r="C297" s="243"/>
      <c r="D297" s="45"/>
      <c r="E297" s="45"/>
      <c r="F297" s="45"/>
      <c r="G297" s="45"/>
      <c r="H297" s="45"/>
      <c r="I297" s="265"/>
      <c r="J297" s="265"/>
      <c r="K297" s="45"/>
      <c r="L297" s="243"/>
      <c r="M297" s="243"/>
      <c r="N297" s="265"/>
      <c r="O297" s="265"/>
      <c r="P297" s="265"/>
      <c r="Q297" s="266"/>
      <c r="R297" s="243"/>
    </row>
    <row r="298" spans="3:18" customFormat="1" x14ac:dyDescent="0.25">
      <c r="C298" s="243"/>
      <c r="D298" s="45"/>
      <c r="E298" s="45"/>
      <c r="F298" s="45"/>
      <c r="G298" s="45"/>
      <c r="H298" s="45"/>
      <c r="I298" s="265"/>
      <c r="J298" s="265"/>
      <c r="K298" s="45"/>
      <c r="L298" s="243"/>
      <c r="M298" s="243"/>
      <c r="N298" s="265"/>
      <c r="O298" s="265"/>
      <c r="P298" s="265"/>
      <c r="Q298" s="266"/>
      <c r="R298" s="243"/>
    </row>
    <row r="299" spans="3:18" customFormat="1" x14ac:dyDescent="0.25">
      <c r="C299" s="243"/>
      <c r="D299" s="45"/>
      <c r="E299" s="45"/>
      <c r="F299" s="45"/>
      <c r="G299" s="45"/>
      <c r="H299" s="45"/>
      <c r="I299" s="265"/>
      <c r="J299" s="265"/>
      <c r="K299" s="45"/>
      <c r="L299" s="243"/>
      <c r="M299" s="243"/>
      <c r="N299" s="265"/>
      <c r="O299" s="265"/>
      <c r="P299" s="265"/>
      <c r="Q299" s="266"/>
      <c r="R299" s="243"/>
    </row>
    <row r="300" spans="3:18" customFormat="1" x14ac:dyDescent="0.25">
      <c r="C300" s="243"/>
      <c r="D300" s="45"/>
      <c r="E300" s="45"/>
      <c r="F300" s="45"/>
      <c r="G300" s="45"/>
      <c r="H300" s="45"/>
      <c r="I300" s="265"/>
      <c r="J300" s="265"/>
      <c r="K300" s="45"/>
      <c r="L300" s="243"/>
      <c r="M300" s="243"/>
      <c r="N300" s="265"/>
      <c r="O300" s="265"/>
      <c r="P300" s="265"/>
      <c r="Q300" s="266"/>
      <c r="R300" s="243"/>
    </row>
    <row r="301" spans="3:18" customFormat="1" x14ac:dyDescent="0.25">
      <c r="C301" s="243"/>
      <c r="D301" s="45"/>
      <c r="E301" s="45"/>
      <c r="F301" s="45"/>
      <c r="G301" s="45"/>
      <c r="H301" s="45"/>
      <c r="I301" s="265"/>
      <c r="J301" s="265"/>
      <c r="K301" s="45"/>
      <c r="L301" s="243"/>
      <c r="M301" s="243"/>
      <c r="N301" s="265"/>
      <c r="O301" s="265"/>
      <c r="P301" s="265"/>
      <c r="Q301" s="266"/>
      <c r="R301" s="243"/>
    </row>
    <row r="302" spans="3:18" customFormat="1" x14ac:dyDescent="0.25">
      <c r="C302" s="243"/>
      <c r="D302" s="45"/>
      <c r="E302" s="45"/>
      <c r="F302" s="45"/>
      <c r="G302" s="45"/>
      <c r="H302" s="45"/>
      <c r="I302" s="265"/>
      <c r="J302" s="265"/>
      <c r="K302" s="45"/>
      <c r="L302" s="243"/>
      <c r="M302" s="243"/>
      <c r="N302" s="265"/>
      <c r="O302" s="265"/>
      <c r="P302" s="265"/>
      <c r="Q302" s="266"/>
      <c r="R302" s="243"/>
    </row>
    <row r="303" spans="3:18" customFormat="1" x14ac:dyDescent="0.25">
      <c r="C303" s="243"/>
      <c r="D303" s="45"/>
      <c r="E303" s="45"/>
      <c r="F303" s="45"/>
      <c r="G303" s="45"/>
      <c r="H303" s="45"/>
      <c r="I303" s="265"/>
      <c r="J303" s="265"/>
      <c r="K303" s="45"/>
      <c r="L303" s="243"/>
      <c r="M303" s="243"/>
      <c r="N303" s="265"/>
      <c r="O303" s="265"/>
      <c r="P303" s="265"/>
      <c r="Q303" s="266"/>
      <c r="R303" s="243"/>
    </row>
    <row r="304" spans="3:18" customFormat="1" x14ac:dyDescent="0.25">
      <c r="C304" s="243"/>
      <c r="D304" s="45"/>
      <c r="E304" s="45"/>
      <c r="F304" s="45"/>
      <c r="G304" s="45"/>
      <c r="H304" s="45"/>
      <c r="I304" s="265"/>
      <c r="J304" s="265"/>
      <c r="K304" s="45"/>
      <c r="L304" s="243"/>
      <c r="M304" s="243"/>
      <c r="N304" s="265"/>
      <c r="O304" s="265"/>
      <c r="P304" s="265"/>
      <c r="Q304" s="266"/>
      <c r="R304" s="243"/>
    </row>
    <row r="305" spans="3:18" customFormat="1" x14ac:dyDescent="0.25">
      <c r="C305" s="243"/>
      <c r="D305" s="45"/>
      <c r="E305" s="45"/>
      <c r="F305" s="45"/>
      <c r="G305" s="45"/>
      <c r="H305" s="45"/>
      <c r="I305" s="265"/>
      <c r="J305" s="265"/>
      <c r="K305" s="45"/>
      <c r="L305" s="243"/>
      <c r="M305" s="243"/>
      <c r="N305" s="265"/>
      <c r="O305" s="265"/>
      <c r="P305" s="265"/>
      <c r="Q305" s="266"/>
      <c r="R305" s="243"/>
    </row>
    <row r="306" spans="3:18" customFormat="1" x14ac:dyDescent="0.25">
      <c r="C306" s="243"/>
      <c r="D306" s="45"/>
      <c r="E306" s="45"/>
      <c r="F306" s="45"/>
      <c r="G306" s="45"/>
      <c r="H306" s="45"/>
      <c r="I306" s="265"/>
      <c r="J306" s="265"/>
      <c r="K306" s="45"/>
      <c r="L306" s="243"/>
      <c r="M306" s="243"/>
      <c r="N306" s="265"/>
      <c r="O306" s="265"/>
      <c r="P306" s="265"/>
      <c r="Q306" s="266"/>
      <c r="R306" s="243"/>
    </row>
    <row r="307" spans="3:18" customFormat="1" x14ac:dyDescent="0.25">
      <c r="C307" s="243"/>
      <c r="D307" s="45"/>
      <c r="E307" s="45"/>
      <c r="F307" s="45"/>
      <c r="G307" s="45"/>
      <c r="H307" s="45"/>
      <c r="I307" s="265"/>
      <c r="J307" s="265"/>
      <c r="K307" s="45"/>
      <c r="L307" s="243"/>
      <c r="M307" s="243"/>
      <c r="N307" s="265"/>
      <c r="O307" s="265"/>
      <c r="P307" s="265"/>
      <c r="Q307" s="266"/>
      <c r="R307" s="243"/>
    </row>
    <row r="308" spans="3:18" customFormat="1" x14ac:dyDescent="0.25">
      <c r="C308" s="243"/>
      <c r="D308" s="45"/>
      <c r="E308" s="45"/>
      <c r="F308" s="45"/>
      <c r="G308" s="45"/>
      <c r="H308" s="45"/>
      <c r="I308" s="265"/>
      <c r="J308" s="265"/>
      <c r="K308" s="45"/>
      <c r="L308" s="243"/>
      <c r="M308" s="243"/>
      <c r="N308" s="265"/>
      <c r="O308" s="265"/>
      <c r="P308" s="265"/>
      <c r="Q308" s="266"/>
      <c r="R308" s="243"/>
    </row>
    <row r="309" spans="3:18" customFormat="1" x14ac:dyDescent="0.25">
      <c r="C309" s="243"/>
      <c r="D309" s="45"/>
      <c r="E309" s="45"/>
      <c r="F309" s="45"/>
      <c r="G309" s="45"/>
      <c r="H309" s="45"/>
      <c r="I309" s="265"/>
      <c r="J309" s="265"/>
      <c r="K309" s="45"/>
      <c r="L309" s="243"/>
      <c r="M309" s="243"/>
      <c r="N309" s="265"/>
      <c r="O309" s="265"/>
      <c r="P309" s="265"/>
      <c r="Q309" s="266"/>
      <c r="R309" s="243"/>
    </row>
    <row r="310" spans="3:18" customFormat="1" x14ac:dyDescent="0.25">
      <c r="C310" s="243"/>
      <c r="D310" s="45"/>
      <c r="E310" s="45"/>
      <c r="F310" s="45"/>
      <c r="G310" s="45"/>
      <c r="H310" s="45"/>
      <c r="I310" s="265"/>
      <c r="J310" s="265"/>
      <c r="K310" s="45"/>
      <c r="L310" s="243"/>
      <c r="M310" s="243"/>
      <c r="N310" s="265"/>
      <c r="O310" s="265"/>
      <c r="P310" s="265"/>
      <c r="Q310" s="266"/>
      <c r="R310" s="243"/>
    </row>
    <row r="311" spans="3:18" customFormat="1" x14ac:dyDescent="0.25">
      <c r="C311" s="243"/>
      <c r="D311" s="45"/>
      <c r="E311" s="45"/>
      <c r="F311" s="45"/>
      <c r="G311" s="45"/>
      <c r="H311" s="45"/>
      <c r="I311" s="265"/>
      <c r="J311" s="265"/>
      <c r="K311" s="45"/>
      <c r="L311" s="243"/>
      <c r="M311" s="243"/>
      <c r="N311" s="265"/>
      <c r="O311" s="265"/>
      <c r="P311" s="265"/>
      <c r="Q311" s="266"/>
      <c r="R311" s="243"/>
    </row>
    <row r="312" spans="3:18" customFormat="1" x14ac:dyDescent="0.25">
      <c r="C312" s="243"/>
      <c r="D312" s="45"/>
      <c r="E312" s="45"/>
      <c r="F312" s="45"/>
      <c r="G312" s="45"/>
      <c r="H312" s="45"/>
      <c r="I312" s="265"/>
      <c r="J312" s="265"/>
      <c r="K312" s="45"/>
      <c r="L312" s="243"/>
      <c r="M312" s="243"/>
      <c r="N312" s="265"/>
      <c r="O312" s="265"/>
      <c r="P312" s="265"/>
      <c r="Q312" s="266"/>
      <c r="R312" s="243"/>
    </row>
    <row r="313" spans="3:18" customFormat="1" x14ac:dyDescent="0.25">
      <c r="C313" s="243"/>
      <c r="D313" s="45"/>
      <c r="E313" s="45"/>
      <c r="F313" s="45"/>
      <c r="G313" s="45"/>
      <c r="H313" s="45"/>
      <c r="I313" s="265"/>
      <c r="J313" s="265"/>
      <c r="K313" s="45"/>
      <c r="L313" s="243"/>
      <c r="M313" s="243"/>
      <c r="N313" s="265"/>
      <c r="O313" s="265"/>
      <c r="P313" s="265"/>
      <c r="Q313" s="266"/>
      <c r="R313" s="243"/>
    </row>
    <row r="314" spans="3:18" customFormat="1" x14ac:dyDescent="0.25">
      <c r="C314" s="243"/>
      <c r="D314" s="45"/>
      <c r="E314" s="45"/>
      <c r="F314" s="45"/>
      <c r="G314" s="45"/>
      <c r="H314" s="45"/>
      <c r="I314" s="265"/>
      <c r="J314" s="265"/>
      <c r="K314" s="45"/>
      <c r="L314" s="243"/>
      <c r="M314" s="243"/>
      <c r="N314" s="265"/>
      <c r="O314" s="265"/>
      <c r="P314" s="265"/>
      <c r="Q314" s="266"/>
      <c r="R314" s="243"/>
    </row>
    <row r="315" spans="3:18" customFormat="1" x14ac:dyDescent="0.25">
      <c r="C315" s="243"/>
      <c r="D315" s="45"/>
      <c r="E315" s="45"/>
      <c r="F315" s="45"/>
      <c r="G315" s="45"/>
      <c r="H315" s="45"/>
      <c r="I315" s="265"/>
      <c r="J315" s="265"/>
      <c r="K315" s="45"/>
      <c r="L315" s="243"/>
      <c r="M315" s="243"/>
      <c r="N315" s="265"/>
      <c r="O315" s="265"/>
      <c r="P315" s="265"/>
      <c r="Q315" s="266"/>
      <c r="R315" s="243"/>
    </row>
    <row r="316" spans="3:18" customFormat="1" x14ac:dyDescent="0.25">
      <c r="C316" s="243"/>
      <c r="D316" s="45"/>
      <c r="E316" s="45"/>
      <c r="F316" s="45"/>
      <c r="G316" s="45"/>
      <c r="H316" s="45"/>
      <c r="I316" s="265"/>
      <c r="J316" s="265"/>
      <c r="K316" s="45"/>
      <c r="L316" s="243"/>
      <c r="M316" s="243"/>
      <c r="N316" s="265"/>
      <c r="O316" s="265"/>
      <c r="P316" s="265"/>
      <c r="Q316" s="266"/>
      <c r="R316" s="243"/>
    </row>
    <row r="317" spans="3:18" customFormat="1" x14ac:dyDescent="0.25">
      <c r="C317" s="243"/>
      <c r="D317" s="45"/>
      <c r="E317" s="45"/>
      <c r="F317" s="45"/>
      <c r="G317" s="45"/>
      <c r="H317" s="45"/>
      <c r="I317" s="265"/>
      <c r="J317" s="265"/>
      <c r="K317" s="45"/>
      <c r="L317" s="243"/>
      <c r="M317" s="243"/>
      <c r="N317" s="265"/>
      <c r="O317" s="265"/>
      <c r="P317" s="265"/>
      <c r="Q317" s="266"/>
      <c r="R317" s="243"/>
    </row>
    <row r="318" spans="3:18" customFormat="1" x14ac:dyDescent="0.25">
      <c r="C318" s="243"/>
      <c r="D318" s="45"/>
      <c r="E318" s="45"/>
      <c r="F318" s="45"/>
      <c r="G318" s="45"/>
      <c r="H318" s="45"/>
      <c r="I318" s="265"/>
      <c r="J318" s="265"/>
      <c r="K318" s="45"/>
      <c r="L318" s="243"/>
      <c r="M318" s="243"/>
      <c r="N318" s="265"/>
      <c r="O318" s="265"/>
      <c r="P318" s="265"/>
      <c r="Q318" s="266"/>
      <c r="R318" s="243"/>
    </row>
    <row r="319" spans="3:18" customFormat="1" x14ac:dyDescent="0.25">
      <c r="C319" s="243"/>
      <c r="D319" s="45"/>
      <c r="E319" s="45"/>
      <c r="F319" s="45"/>
      <c r="G319" s="45"/>
      <c r="H319" s="45"/>
      <c r="I319" s="265"/>
      <c r="J319" s="265"/>
      <c r="K319" s="45"/>
      <c r="L319" s="243"/>
      <c r="M319" s="243"/>
      <c r="N319" s="265"/>
      <c r="O319" s="265"/>
      <c r="P319" s="265"/>
      <c r="Q319" s="266"/>
      <c r="R319" s="243"/>
    </row>
    <row r="320" spans="3:18" customFormat="1" x14ac:dyDescent="0.25">
      <c r="C320" s="243"/>
      <c r="D320" s="45"/>
      <c r="E320" s="45"/>
      <c r="F320" s="45"/>
      <c r="G320" s="45"/>
      <c r="H320" s="45"/>
      <c r="I320" s="265"/>
      <c r="J320" s="265"/>
      <c r="K320" s="45"/>
      <c r="L320" s="243"/>
      <c r="M320" s="243"/>
      <c r="N320" s="265"/>
      <c r="O320" s="265"/>
      <c r="P320" s="265"/>
      <c r="Q320" s="266"/>
      <c r="R320" s="243"/>
    </row>
    <row r="321" spans="3:18" customFormat="1" x14ac:dyDescent="0.25">
      <c r="C321" s="243"/>
      <c r="D321" s="45"/>
      <c r="E321" s="45"/>
      <c r="F321" s="45"/>
      <c r="G321" s="45"/>
      <c r="H321" s="45"/>
      <c r="I321" s="265"/>
      <c r="J321" s="265"/>
      <c r="K321" s="45"/>
      <c r="L321" s="243"/>
      <c r="M321" s="243"/>
      <c r="N321" s="265"/>
      <c r="O321" s="265"/>
      <c r="P321" s="265"/>
      <c r="Q321" s="266"/>
      <c r="R321" s="243"/>
    </row>
    <row r="322" spans="3:18" customFormat="1" x14ac:dyDescent="0.25">
      <c r="C322" s="243"/>
      <c r="D322" s="45"/>
      <c r="E322" s="45"/>
      <c r="F322" s="45"/>
      <c r="G322" s="45"/>
      <c r="H322" s="45"/>
      <c r="I322" s="265"/>
      <c r="J322" s="265"/>
      <c r="K322" s="45"/>
      <c r="L322" s="243"/>
      <c r="M322" s="243"/>
      <c r="N322" s="265"/>
      <c r="O322" s="265"/>
      <c r="P322" s="265"/>
      <c r="Q322" s="266"/>
      <c r="R322" s="243"/>
    </row>
    <row r="323" spans="3:18" customFormat="1" x14ac:dyDescent="0.25">
      <c r="C323" s="243"/>
      <c r="D323" s="45"/>
      <c r="E323" s="45"/>
      <c r="F323" s="45"/>
      <c r="G323" s="45"/>
      <c r="H323" s="45"/>
      <c r="I323" s="265"/>
      <c r="J323" s="265"/>
      <c r="K323" s="45"/>
      <c r="L323" s="243"/>
      <c r="M323" s="243"/>
      <c r="N323" s="265"/>
      <c r="O323" s="265"/>
      <c r="P323" s="265"/>
      <c r="Q323" s="266"/>
      <c r="R323" s="243"/>
    </row>
    <row r="324" spans="3:18" customFormat="1" x14ac:dyDescent="0.25">
      <c r="C324" s="243"/>
      <c r="D324" s="45"/>
      <c r="E324" s="45"/>
      <c r="F324" s="45"/>
      <c r="G324" s="45"/>
      <c r="H324" s="45"/>
      <c r="I324" s="265"/>
      <c r="J324" s="265"/>
      <c r="K324" s="45"/>
      <c r="L324" s="243"/>
      <c r="M324" s="243"/>
      <c r="N324" s="265"/>
      <c r="O324" s="265"/>
      <c r="P324" s="265"/>
      <c r="Q324" s="266"/>
      <c r="R324" s="243"/>
    </row>
    <row r="325" spans="3:18" customFormat="1" x14ac:dyDescent="0.25">
      <c r="C325" s="243"/>
      <c r="D325" s="45"/>
      <c r="E325" s="45"/>
      <c r="F325" s="45"/>
      <c r="G325" s="45"/>
      <c r="H325" s="45"/>
      <c r="I325" s="265"/>
      <c r="J325" s="265"/>
      <c r="K325" s="45"/>
      <c r="L325" s="243"/>
      <c r="M325" s="243"/>
      <c r="N325" s="265"/>
      <c r="O325" s="265"/>
      <c r="P325" s="265"/>
      <c r="Q325" s="266"/>
      <c r="R325" s="243"/>
    </row>
    <row r="326" spans="3:18" customFormat="1" x14ac:dyDescent="0.25">
      <c r="C326" s="243"/>
      <c r="D326" s="45"/>
      <c r="E326" s="45"/>
      <c r="F326" s="45"/>
      <c r="G326" s="45"/>
      <c r="H326" s="45"/>
      <c r="I326" s="265"/>
      <c r="J326" s="265"/>
      <c r="K326" s="45"/>
      <c r="L326" s="243"/>
      <c r="M326" s="243"/>
      <c r="N326" s="265"/>
      <c r="O326" s="265"/>
      <c r="P326" s="265"/>
      <c r="Q326" s="266"/>
      <c r="R326" s="243"/>
    </row>
    <row r="327" spans="3:18" customFormat="1" x14ac:dyDescent="0.25">
      <c r="C327" s="243"/>
      <c r="D327" s="45"/>
      <c r="E327" s="45"/>
      <c r="F327" s="45"/>
      <c r="G327" s="45"/>
      <c r="H327" s="45"/>
      <c r="I327" s="265"/>
      <c r="J327" s="265"/>
      <c r="K327" s="45"/>
      <c r="L327" s="243"/>
      <c r="M327" s="243"/>
      <c r="N327" s="265"/>
      <c r="O327" s="265"/>
      <c r="P327" s="265"/>
      <c r="Q327" s="266"/>
      <c r="R327" s="243"/>
    </row>
    <row r="328" spans="3:18" customFormat="1" x14ac:dyDescent="0.25">
      <c r="C328" s="243"/>
      <c r="D328" s="45"/>
      <c r="E328" s="45"/>
      <c r="F328" s="45"/>
      <c r="G328" s="45"/>
      <c r="H328" s="45"/>
      <c r="I328" s="265"/>
      <c r="J328" s="265"/>
      <c r="K328" s="45"/>
      <c r="L328" s="243"/>
      <c r="M328" s="243"/>
      <c r="N328" s="265"/>
      <c r="O328" s="265"/>
      <c r="P328" s="265"/>
      <c r="Q328" s="266"/>
      <c r="R328" s="243"/>
    </row>
    <row r="329" spans="3:18" customFormat="1" x14ac:dyDescent="0.25">
      <c r="C329" s="243"/>
      <c r="D329" s="45"/>
      <c r="E329" s="45"/>
      <c r="F329" s="45"/>
      <c r="G329" s="45"/>
      <c r="H329" s="45"/>
      <c r="I329" s="265"/>
      <c r="J329" s="265"/>
      <c r="K329" s="45"/>
      <c r="L329" s="243"/>
      <c r="M329" s="243"/>
      <c r="N329" s="265"/>
      <c r="O329" s="265"/>
      <c r="P329" s="265"/>
      <c r="Q329" s="266"/>
      <c r="R329" s="243"/>
    </row>
    <row r="330" spans="3:18" customFormat="1" x14ac:dyDescent="0.25">
      <c r="C330" s="243"/>
      <c r="D330" s="45"/>
      <c r="E330" s="45"/>
      <c r="F330" s="45"/>
      <c r="G330" s="45"/>
      <c r="H330" s="45"/>
      <c r="I330" s="265"/>
      <c r="J330" s="265"/>
      <c r="K330" s="45"/>
      <c r="L330" s="243"/>
      <c r="M330" s="243"/>
      <c r="N330" s="265"/>
      <c r="O330" s="265"/>
      <c r="P330" s="265"/>
      <c r="Q330" s="266"/>
      <c r="R330" s="243"/>
    </row>
    <row r="331" spans="3:18" customFormat="1" x14ac:dyDescent="0.25">
      <c r="C331" s="243"/>
      <c r="D331" s="45"/>
      <c r="E331" s="45"/>
      <c r="F331" s="45"/>
      <c r="G331" s="45"/>
      <c r="H331" s="45"/>
      <c r="I331" s="265"/>
      <c r="J331" s="265"/>
      <c r="K331" s="45"/>
      <c r="L331" s="243"/>
      <c r="M331" s="243"/>
      <c r="N331" s="265"/>
      <c r="O331" s="265"/>
      <c r="P331" s="265"/>
      <c r="Q331" s="266"/>
      <c r="R331" s="243"/>
    </row>
    <row r="332" spans="3:18" customFormat="1" x14ac:dyDescent="0.25">
      <c r="C332" s="243"/>
      <c r="D332" s="45"/>
      <c r="E332" s="45"/>
      <c r="F332" s="45"/>
      <c r="G332" s="45"/>
      <c r="H332" s="45"/>
      <c r="I332" s="265"/>
      <c r="J332" s="265"/>
      <c r="K332" s="45"/>
      <c r="L332" s="243"/>
      <c r="M332" s="243"/>
      <c r="N332" s="265"/>
      <c r="O332" s="265"/>
      <c r="P332" s="265"/>
      <c r="Q332" s="266"/>
      <c r="R332" s="243"/>
    </row>
    <row r="333" spans="3:18" customFormat="1" x14ac:dyDescent="0.25">
      <c r="C333" s="243"/>
      <c r="D333" s="45"/>
      <c r="E333" s="45"/>
      <c r="F333" s="45"/>
      <c r="G333" s="45"/>
      <c r="H333" s="45"/>
      <c r="I333" s="265"/>
      <c r="J333" s="265"/>
      <c r="K333" s="45"/>
      <c r="L333" s="243"/>
      <c r="M333" s="243"/>
      <c r="N333" s="265"/>
      <c r="O333" s="265"/>
      <c r="P333" s="265"/>
      <c r="Q333" s="266"/>
      <c r="R333" s="243"/>
    </row>
    <row r="334" spans="3:18" customFormat="1" x14ac:dyDescent="0.25">
      <c r="C334" s="243"/>
      <c r="D334" s="45"/>
      <c r="E334" s="45"/>
      <c r="F334" s="45"/>
      <c r="G334" s="45"/>
      <c r="H334" s="45"/>
      <c r="I334" s="265"/>
      <c r="J334" s="265"/>
      <c r="K334" s="45"/>
      <c r="L334" s="243"/>
      <c r="M334" s="243"/>
      <c r="N334" s="265"/>
      <c r="O334" s="265"/>
      <c r="P334" s="265"/>
      <c r="Q334" s="266"/>
      <c r="R334" s="243"/>
    </row>
    <row r="335" spans="3:18" customFormat="1" x14ac:dyDescent="0.25">
      <c r="C335" s="243"/>
      <c r="D335" s="45"/>
      <c r="E335" s="45"/>
      <c r="F335" s="45"/>
      <c r="G335" s="45"/>
      <c r="H335" s="45"/>
      <c r="I335" s="265"/>
      <c r="J335" s="265"/>
      <c r="K335" s="45"/>
      <c r="L335" s="243"/>
      <c r="M335" s="243"/>
      <c r="N335" s="265"/>
      <c r="O335" s="265"/>
      <c r="P335" s="265"/>
      <c r="Q335" s="266"/>
      <c r="R335" s="243"/>
    </row>
    <row r="336" spans="3:18" customFormat="1" x14ac:dyDescent="0.25">
      <c r="C336" s="243"/>
      <c r="D336" s="45"/>
      <c r="E336" s="45"/>
      <c r="F336" s="45"/>
      <c r="G336" s="45"/>
      <c r="H336" s="45"/>
      <c r="I336" s="265"/>
      <c r="J336" s="265"/>
      <c r="K336" s="45"/>
      <c r="L336" s="243"/>
      <c r="M336" s="243"/>
      <c r="N336" s="265"/>
      <c r="O336" s="265"/>
      <c r="P336" s="265"/>
      <c r="Q336" s="266"/>
      <c r="R336" s="243"/>
    </row>
    <row r="337" spans="3:18" customFormat="1" x14ac:dyDescent="0.25">
      <c r="C337" s="243"/>
      <c r="D337" s="45"/>
      <c r="E337" s="45"/>
      <c r="F337" s="45"/>
      <c r="G337" s="45"/>
      <c r="H337" s="45"/>
      <c r="I337" s="265"/>
      <c r="J337" s="265"/>
      <c r="K337" s="45"/>
      <c r="L337" s="243"/>
      <c r="M337" s="243"/>
      <c r="N337" s="265"/>
      <c r="O337" s="265"/>
      <c r="P337" s="265"/>
      <c r="Q337" s="266"/>
      <c r="R337" s="243"/>
    </row>
    <row r="338" spans="3:18" customFormat="1" x14ac:dyDescent="0.25">
      <c r="C338" s="243"/>
      <c r="D338" s="45"/>
      <c r="E338" s="45"/>
      <c r="F338" s="45"/>
      <c r="G338" s="45"/>
      <c r="H338" s="45"/>
      <c r="I338" s="265"/>
      <c r="J338" s="265"/>
      <c r="K338" s="45"/>
      <c r="L338" s="243"/>
      <c r="M338" s="243"/>
      <c r="N338" s="265"/>
      <c r="O338" s="265"/>
      <c r="P338" s="265"/>
      <c r="Q338" s="266"/>
      <c r="R338" s="243"/>
    </row>
    <row r="339" spans="3:18" customFormat="1" x14ac:dyDescent="0.25">
      <c r="C339" s="243"/>
      <c r="D339" s="45"/>
      <c r="E339" s="45"/>
      <c r="F339" s="45"/>
      <c r="G339" s="45"/>
      <c r="H339" s="45"/>
      <c r="I339" s="265"/>
      <c r="J339" s="265"/>
      <c r="K339" s="45"/>
      <c r="L339" s="243"/>
      <c r="M339" s="243"/>
      <c r="N339" s="265"/>
      <c r="O339" s="265"/>
      <c r="P339" s="265"/>
      <c r="Q339" s="266"/>
      <c r="R339" s="243"/>
    </row>
    <row r="340" spans="3:18" customFormat="1" x14ac:dyDescent="0.25">
      <c r="C340" s="243"/>
      <c r="D340" s="45"/>
      <c r="E340" s="45"/>
      <c r="F340" s="45"/>
      <c r="G340" s="45"/>
      <c r="H340" s="45"/>
      <c r="I340" s="265"/>
      <c r="J340" s="265"/>
      <c r="K340" s="45"/>
      <c r="L340" s="243"/>
      <c r="M340" s="243"/>
      <c r="N340" s="265"/>
      <c r="O340" s="265"/>
      <c r="P340" s="265"/>
      <c r="Q340" s="266"/>
      <c r="R340" s="243"/>
    </row>
    <row r="341" spans="3:18" customFormat="1" x14ac:dyDescent="0.25">
      <c r="C341" s="243"/>
      <c r="D341" s="45"/>
      <c r="E341" s="45"/>
      <c r="F341" s="45"/>
      <c r="G341" s="45"/>
      <c r="H341" s="45"/>
      <c r="I341" s="265"/>
      <c r="J341" s="265"/>
      <c r="K341" s="45"/>
      <c r="L341" s="243"/>
      <c r="M341" s="243"/>
      <c r="N341" s="265"/>
      <c r="O341" s="265"/>
      <c r="P341" s="265"/>
      <c r="Q341" s="266"/>
      <c r="R341" s="243"/>
    </row>
    <row r="342" spans="3:18" customFormat="1" x14ac:dyDescent="0.25">
      <c r="C342" s="243"/>
      <c r="D342" s="45"/>
      <c r="E342" s="45"/>
      <c r="F342" s="45"/>
      <c r="G342" s="45"/>
      <c r="H342" s="45"/>
      <c r="I342" s="265"/>
      <c r="J342" s="265"/>
      <c r="K342" s="45"/>
      <c r="L342" s="243"/>
      <c r="M342" s="243"/>
      <c r="N342" s="265"/>
      <c r="O342" s="265"/>
      <c r="P342" s="265"/>
      <c r="Q342" s="266"/>
      <c r="R342" s="243"/>
    </row>
    <row r="343" spans="3:18" customFormat="1" x14ac:dyDescent="0.25">
      <c r="C343" s="243"/>
      <c r="D343" s="45"/>
      <c r="E343" s="45"/>
      <c r="F343" s="45"/>
      <c r="G343" s="45"/>
      <c r="H343" s="45"/>
      <c r="I343" s="265"/>
      <c r="J343" s="265"/>
      <c r="K343" s="45"/>
      <c r="L343" s="243"/>
      <c r="M343" s="243"/>
      <c r="N343" s="265"/>
      <c r="O343" s="265"/>
      <c r="P343" s="265"/>
      <c r="Q343" s="266"/>
      <c r="R343" s="243"/>
    </row>
    <row r="344" spans="3:18" customFormat="1" x14ac:dyDescent="0.25">
      <c r="C344" s="243"/>
      <c r="D344" s="45"/>
      <c r="E344" s="45"/>
      <c r="F344" s="45"/>
      <c r="G344" s="45"/>
      <c r="H344" s="45"/>
      <c r="I344" s="265"/>
      <c r="J344" s="265"/>
      <c r="K344" s="45"/>
      <c r="L344" s="243"/>
      <c r="M344" s="243"/>
      <c r="N344" s="265"/>
      <c r="O344" s="265"/>
      <c r="P344" s="265"/>
      <c r="Q344" s="266"/>
      <c r="R344" s="243"/>
    </row>
    <row r="345" spans="3:18" customFormat="1" x14ac:dyDescent="0.25">
      <c r="C345" s="243"/>
      <c r="D345" s="45"/>
      <c r="E345" s="45"/>
      <c r="F345" s="45"/>
      <c r="G345" s="45"/>
      <c r="H345" s="45"/>
      <c r="I345" s="265"/>
      <c r="J345" s="265"/>
      <c r="K345" s="45"/>
      <c r="L345" s="243"/>
      <c r="M345" s="243"/>
      <c r="N345" s="265"/>
      <c r="O345" s="265"/>
      <c r="P345" s="265"/>
      <c r="Q345" s="266"/>
      <c r="R345" s="243"/>
    </row>
    <row r="346" spans="3:18" customFormat="1" x14ac:dyDescent="0.25">
      <c r="C346" s="243"/>
      <c r="D346" s="45"/>
      <c r="E346" s="45"/>
      <c r="F346" s="45"/>
      <c r="G346" s="45"/>
      <c r="H346" s="45"/>
      <c r="I346" s="265"/>
      <c r="J346" s="265"/>
      <c r="K346" s="45"/>
      <c r="L346" s="243"/>
      <c r="M346" s="243"/>
      <c r="N346" s="265"/>
      <c r="O346" s="265"/>
      <c r="P346" s="265"/>
      <c r="Q346" s="266"/>
      <c r="R346" s="243"/>
    </row>
    <row r="347" spans="3:18" customFormat="1" x14ac:dyDescent="0.25">
      <c r="C347" s="243"/>
      <c r="D347" s="45"/>
      <c r="E347" s="45"/>
      <c r="F347" s="45"/>
      <c r="G347" s="45"/>
      <c r="H347" s="45"/>
      <c r="I347" s="265"/>
      <c r="J347" s="265"/>
      <c r="K347" s="45"/>
      <c r="L347" s="243"/>
      <c r="M347" s="243"/>
      <c r="N347" s="265"/>
      <c r="O347" s="265"/>
      <c r="P347" s="265"/>
      <c r="Q347" s="266"/>
      <c r="R347" s="243"/>
    </row>
    <row r="348" spans="3:18" customFormat="1" x14ac:dyDescent="0.25">
      <c r="C348" s="243"/>
      <c r="D348" s="45"/>
      <c r="E348" s="45"/>
      <c r="F348" s="45"/>
      <c r="G348" s="45"/>
      <c r="H348" s="45"/>
      <c r="I348" s="265"/>
      <c r="J348" s="265"/>
      <c r="K348" s="45"/>
      <c r="L348" s="243"/>
      <c r="M348" s="243"/>
      <c r="N348" s="265"/>
      <c r="O348" s="265"/>
      <c r="P348" s="265"/>
      <c r="Q348" s="266"/>
      <c r="R348" s="243"/>
    </row>
    <row r="349" spans="3:18" customFormat="1" x14ac:dyDescent="0.25">
      <c r="C349" s="243"/>
      <c r="D349" s="45"/>
      <c r="E349" s="45"/>
      <c r="F349" s="45"/>
      <c r="G349" s="45"/>
      <c r="H349" s="45"/>
      <c r="I349" s="265"/>
      <c r="J349" s="265"/>
      <c r="K349" s="45"/>
      <c r="L349" s="243"/>
      <c r="M349" s="243"/>
      <c r="N349" s="265"/>
      <c r="O349" s="265"/>
      <c r="P349" s="265"/>
      <c r="Q349" s="266"/>
      <c r="R349" s="243"/>
    </row>
    <row r="350" spans="3:18" customFormat="1" x14ac:dyDescent="0.25">
      <c r="C350" s="243"/>
      <c r="D350" s="45"/>
      <c r="E350" s="45"/>
      <c r="F350" s="45"/>
      <c r="G350" s="45"/>
      <c r="H350" s="45"/>
      <c r="I350" s="265"/>
      <c r="J350" s="265"/>
      <c r="K350" s="45"/>
      <c r="L350" s="243"/>
      <c r="M350" s="243"/>
      <c r="N350" s="265"/>
      <c r="O350" s="265"/>
      <c r="P350" s="265"/>
      <c r="Q350" s="266"/>
      <c r="R350" s="243"/>
    </row>
    <row r="351" spans="3:18" customFormat="1" x14ac:dyDescent="0.25">
      <c r="C351" s="243"/>
      <c r="D351" s="45"/>
      <c r="E351" s="45"/>
      <c r="F351" s="45"/>
      <c r="G351" s="45"/>
      <c r="H351" s="45"/>
      <c r="I351" s="265"/>
      <c r="J351" s="265"/>
      <c r="K351" s="45"/>
      <c r="L351" s="243"/>
      <c r="M351" s="243"/>
      <c r="N351" s="265"/>
      <c r="O351" s="265"/>
      <c r="P351" s="265"/>
      <c r="Q351" s="266"/>
      <c r="R351" s="243"/>
    </row>
    <row r="352" spans="3:18" customFormat="1" x14ac:dyDescent="0.25">
      <c r="C352" s="243"/>
      <c r="D352" s="45"/>
      <c r="E352" s="45"/>
      <c r="F352" s="45"/>
      <c r="G352" s="45"/>
      <c r="H352" s="45"/>
      <c r="I352" s="265"/>
      <c r="J352" s="265"/>
      <c r="K352" s="45"/>
      <c r="L352" s="243"/>
      <c r="M352" s="243"/>
      <c r="N352" s="265"/>
      <c r="O352" s="265"/>
      <c r="P352" s="265"/>
      <c r="Q352" s="266"/>
      <c r="R352" s="243"/>
    </row>
    <row r="353" spans="3:18" customFormat="1" x14ac:dyDescent="0.25">
      <c r="C353" s="243"/>
      <c r="D353" s="45"/>
      <c r="E353" s="45"/>
      <c r="F353" s="45"/>
      <c r="G353" s="45"/>
      <c r="H353" s="45"/>
      <c r="I353" s="265"/>
      <c r="J353" s="265"/>
      <c r="K353" s="45"/>
      <c r="L353" s="243"/>
      <c r="M353" s="243"/>
      <c r="N353" s="265"/>
      <c r="O353" s="265"/>
      <c r="P353" s="265"/>
      <c r="Q353" s="266"/>
      <c r="R353" s="243"/>
    </row>
    <row r="354" spans="3:18" customFormat="1" x14ac:dyDescent="0.25">
      <c r="C354" s="243"/>
      <c r="D354" s="45"/>
      <c r="E354" s="45"/>
      <c r="F354" s="45"/>
      <c r="G354" s="45"/>
      <c r="H354" s="45"/>
      <c r="I354" s="265"/>
      <c r="J354" s="265"/>
      <c r="K354" s="45"/>
      <c r="L354" s="243"/>
      <c r="M354" s="243"/>
      <c r="N354" s="265"/>
      <c r="O354" s="265"/>
      <c r="P354" s="265"/>
      <c r="Q354" s="266"/>
      <c r="R354" s="243"/>
    </row>
    <row r="355" spans="3:18" customFormat="1" x14ac:dyDescent="0.25">
      <c r="C355" s="243"/>
      <c r="D355" s="45"/>
      <c r="E355" s="45"/>
      <c r="F355" s="45"/>
      <c r="G355" s="45"/>
      <c r="H355" s="45"/>
      <c r="I355" s="265"/>
      <c r="J355" s="265"/>
      <c r="K355" s="45"/>
      <c r="L355" s="243"/>
      <c r="M355" s="243"/>
      <c r="N355" s="265"/>
      <c r="O355" s="265"/>
      <c r="P355" s="265"/>
      <c r="Q355" s="266"/>
      <c r="R355" s="243"/>
    </row>
    <row r="356" spans="3:18" customFormat="1" x14ac:dyDescent="0.25">
      <c r="C356" s="243"/>
      <c r="D356" s="45"/>
      <c r="E356" s="45"/>
      <c r="F356" s="45"/>
      <c r="G356" s="45"/>
      <c r="H356" s="45"/>
      <c r="I356" s="265"/>
      <c r="J356" s="265"/>
      <c r="K356" s="45"/>
      <c r="L356" s="243"/>
      <c r="M356" s="243"/>
      <c r="N356" s="265"/>
      <c r="O356" s="265"/>
      <c r="P356" s="265"/>
      <c r="Q356" s="266"/>
      <c r="R356" s="243"/>
    </row>
    <row r="357" spans="3:18" customFormat="1" x14ac:dyDescent="0.25">
      <c r="C357" s="243"/>
      <c r="D357" s="45"/>
      <c r="E357" s="45"/>
      <c r="F357" s="45"/>
      <c r="G357" s="45"/>
      <c r="H357" s="45"/>
      <c r="I357" s="265"/>
      <c r="J357" s="265"/>
      <c r="K357" s="45"/>
      <c r="L357" s="243"/>
      <c r="M357" s="243"/>
      <c r="N357" s="265"/>
      <c r="O357" s="265"/>
      <c r="P357" s="265"/>
      <c r="Q357" s="266"/>
      <c r="R357" s="243"/>
    </row>
    <row r="358" spans="3:18" customFormat="1" x14ac:dyDescent="0.25">
      <c r="C358" s="243"/>
      <c r="D358" s="45"/>
      <c r="E358" s="45"/>
      <c r="F358" s="45"/>
      <c r="G358" s="45"/>
      <c r="H358" s="45"/>
      <c r="I358" s="265"/>
      <c r="J358" s="265"/>
      <c r="K358" s="45"/>
      <c r="L358" s="243"/>
      <c r="M358" s="243"/>
      <c r="N358" s="265"/>
      <c r="O358" s="265"/>
      <c r="P358" s="265"/>
      <c r="Q358" s="266"/>
      <c r="R358" s="243"/>
    </row>
    <row r="359" spans="3:18" customFormat="1" x14ac:dyDescent="0.25">
      <c r="C359" s="243"/>
      <c r="D359" s="45"/>
      <c r="E359" s="45"/>
      <c r="F359" s="45"/>
      <c r="G359" s="45"/>
      <c r="H359" s="45"/>
      <c r="I359" s="265"/>
      <c r="J359" s="265"/>
      <c r="K359" s="45"/>
      <c r="L359" s="243"/>
      <c r="M359" s="243"/>
      <c r="N359" s="265"/>
      <c r="O359" s="265"/>
      <c r="P359" s="265"/>
      <c r="Q359" s="266"/>
      <c r="R359" s="243"/>
    </row>
    <row r="360" spans="3:18" customFormat="1" x14ac:dyDescent="0.25">
      <c r="C360" s="243"/>
      <c r="D360" s="45"/>
      <c r="E360" s="45"/>
      <c r="F360" s="45"/>
      <c r="G360" s="45"/>
      <c r="H360" s="45"/>
      <c r="I360" s="265"/>
      <c r="J360" s="265"/>
      <c r="K360" s="45"/>
      <c r="L360" s="243"/>
      <c r="M360" s="243"/>
      <c r="N360" s="265"/>
      <c r="O360" s="265"/>
      <c r="P360" s="265"/>
      <c r="Q360" s="266"/>
      <c r="R360" s="243"/>
    </row>
    <row r="361" spans="3:18" customFormat="1" x14ac:dyDescent="0.25">
      <c r="C361" s="243"/>
      <c r="D361" s="45"/>
      <c r="E361" s="45"/>
      <c r="F361" s="45"/>
      <c r="G361" s="45"/>
      <c r="H361" s="45"/>
      <c r="I361" s="265"/>
      <c r="J361" s="265"/>
      <c r="K361" s="45"/>
      <c r="L361" s="243"/>
      <c r="M361" s="243"/>
      <c r="N361" s="265"/>
      <c r="O361" s="265"/>
      <c r="P361" s="265"/>
      <c r="Q361" s="266"/>
      <c r="R361" s="243"/>
    </row>
    <row r="362" spans="3:18" customFormat="1" x14ac:dyDescent="0.25">
      <c r="C362" s="243"/>
      <c r="D362" s="45"/>
      <c r="E362" s="45"/>
      <c r="F362" s="45"/>
      <c r="G362" s="45"/>
      <c r="H362" s="45"/>
      <c r="I362" s="265"/>
      <c r="J362" s="265"/>
      <c r="K362" s="45"/>
      <c r="L362" s="243"/>
      <c r="M362" s="243"/>
      <c r="N362" s="265"/>
      <c r="O362" s="265"/>
      <c r="P362" s="265"/>
      <c r="Q362" s="266"/>
      <c r="R362" s="243"/>
    </row>
    <row r="363" spans="3:18" customFormat="1" x14ac:dyDescent="0.25">
      <c r="C363" s="243"/>
      <c r="D363" s="45"/>
      <c r="E363" s="45"/>
      <c r="F363" s="45"/>
      <c r="G363" s="45"/>
      <c r="H363" s="45"/>
      <c r="I363" s="265"/>
      <c r="J363" s="265"/>
      <c r="K363" s="45"/>
      <c r="L363" s="243"/>
      <c r="M363" s="243"/>
      <c r="N363" s="265"/>
      <c r="O363" s="265"/>
      <c r="P363" s="265"/>
      <c r="Q363" s="266"/>
      <c r="R363" s="243"/>
    </row>
    <row r="364" spans="3:18" customFormat="1" x14ac:dyDescent="0.25">
      <c r="C364" s="243"/>
      <c r="D364" s="45"/>
      <c r="E364" s="45"/>
      <c r="F364" s="45"/>
      <c r="G364" s="45"/>
      <c r="H364" s="45"/>
      <c r="I364" s="265"/>
      <c r="J364" s="265"/>
      <c r="K364" s="45"/>
      <c r="L364" s="243"/>
      <c r="M364" s="243"/>
      <c r="N364" s="265"/>
      <c r="O364" s="265"/>
      <c r="P364" s="265"/>
      <c r="Q364" s="266"/>
      <c r="R364" s="243"/>
    </row>
    <row r="365" spans="3:18" customFormat="1" x14ac:dyDescent="0.25">
      <c r="C365" s="243"/>
      <c r="D365" s="45"/>
      <c r="E365" s="45"/>
      <c r="F365" s="45"/>
      <c r="G365" s="45"/>
      <c r="H365" s="45"/>
      <c r="I365" s="265"/>
      <c r="J365" s="265"/>
      <c r="K365" s="45"/>
      <c r="L365" s="243"/>
      <c r="M365" s="243"/>
      <c r="N365" s="265"/>
      <c r="O365" s="265"/>
      <c r="P365" s="265"/>
      <c r="Q365" s="266"/>
      <c r="R365" s="243"/>
    </row>
    <row r="366" spans="3:18" customFormat="1" x14ac:dyDescent="0.25">
      <c r="C366" s="243"/>
      <c r="D366" s="45"/>
      <c r="E366" s="45"/>
      <c r="F366" s="45"/>
      <c r="G366" s="45"/>
      <c r="H366" s="45"/>
      <c r="I366" s="265"/>
      <c r="J366" s="265"/>
      <c r="K366" s="45"/>
      <c r="L366" s="243"/>
      <c r="M366" s="243"/>
      <c r="N366" s="265"/>
      <c r="O366" s="265"/>
      <c r="P366" s="265"/>
      <c r="Q366" s="266"/>
      <c r="R366" s="243"/>
    </row>
    <row r="367" spans="3:18" customFormat="1" x14ac:dyDescent="0.25">
      <c r="C367" s="243"/>
      <c r="D367" s="45"/>
      <c r="E367" s="45"/>
      <c r="F367" s="45"/>
      <c r="G367" s="45"/>
      <c r="H367" s="45"/>
      <c r="I367" s="265"/>
      <c r="J367" s="265"/>
      <c r="K367" s="45"/>
      <c r="L367" s="243"/>
      <c r="M367" s="243"/>
      <c r="N367" s="265"/>
      <c r="O367" s="265"/>
      <c r="P367" s="265"/>
      <c r="Q367" s="266"/>
      <c r="R367" s="243"/>
    </row>
    <row r="368" spans="3:18" customFormat="1" x14ac:dyDescent="0.25">
      <c r="C368" s="243"/>
      <c r="D368" s="45"/>
      <c r="E368" s="45"/>
      <c r="F368" s="45"/>
      <c r="G368" s="45"/>
      <c r="H368" s="45"/>
      <c r="I368" s="265"/>
      <c r="J368" s="265"/>
      <c r="K368" s="45"/>
      <c r="L368" s="243"/>
      <c r="M368" s="243"/>
      <c r="N368" s="265"/>
      <c r="O368" s="265"/>
      <c r="P368" s="265"/>
      <c r="Q368" s="266"/>
      <c r="R368" s="243"/>
    </row>
    <row r="369" spans="3:18" customFormat="1" x14ac:dyDescent="0.25">
      <c r="C369" s="243"/>
      <c r="D369" s="45"/>
      <c r="E369" s="45"/>
      <c r="F369" s="45"/>
      <c r="G369" s="45"/>
      <c r="H369" s="45"/>
      <c r="I369" s="265"/>
      <c r="J369" s="265"/>
      <c r="K369" s="45"/>
      <c r="L369" s="243"/>
      <c r="M369" s="243"/>
      <c r="N369" s="265"/>
      <c r="O369" s="265"/>
      <c r="P369" s="265"/>
      <c r="Q369" s="266"/>
      <c r="R369" s="243"/>
    </row>
    <row r="370" spans="3:18" customFormat="1" x14ac:dyDescent="0.25">
      <c r="C370" s="243"/>
      <c r="D370" s="45"/>
      <c r="E370" s="45"/>
      <c r="F370" s="45"/>
      <c r="G370" s="45"/>
      <c r="H370" s="45"/>
      <c r="I370" s="265"/>
      <c r="J370" s="265"/>
      <c r="K370" s="45"/>
      <c r="L370" s="243"/>
      <c r="M370" s="243"/>
      <c r="N370" s="265"/>
      <c r="O370" s="265"/>
      <c r="P370" s="265"/>
      <c r="Q370" s="266"/>
      <c r="R370" s="243"/>
    </row>
    <row r="371" spans="3:18" customFormat="1" x14ac:dyDescent="0.25">
      <c r="C371" s="243"/>
      <c r="D371" s="45"/>
      <c r="E371" s="45"/>
      <c r="F371" s="45"/>
      <c r="G371" s="45"/>
      <c r="H371" s="45"/>
      <c r="I371" s="265"/>
      <c r="J371" s="265"/>
      <c r="K371" s="45"/>
      <c r="L371" s="243"/>
      <c r="M371" s="243"/>
      <c r="N371" s="265"/>
      <c r="O371" s="265"/>
      <c r="P371" s="265"/>
      <c r="Q371" s="266"/>
      <c r="R371" s="243"/>
    </row>
    <row r="372" spans="3:18" customFormat="1" x14ac:dyDescent="0.25">
      <c r="C372" s="243"/>
      <c r="D372" s="45"/>
      <c r="E372" s="45"/>
      <c r="F372" s="45"/>
      <c r="G372" s="45"/>
      <c r="H372" s="45"/>
      <c r="I372" s="265"/>
      <c r="J372" s="265"/>
      <c r="K372" s="45"/>
      <c r="L372" s="243"/>
      <c r="M372" s="243"/>
      <c r="N372" s="265"/>
      <c r="O372" s="265"/>
      <c r="P372" s="265"/>
      <c r="Q372" s="266"/>
      <c r="R372" s="243"/>
    </row>
    <row r="373" spans="3:18" customFormat="1" x14ac:dyDescent="0.25">
      <c r="C373" s="243"/>
      <c r="D373" s="45"/>
      <c r="E373" s="45"/>
      <c r="F373" s="45"/>
      <c r="G373" s="45"/>
      <c r="H373" s="45"/>
      <c r="I373" s="265"/>
      <c r="J373" s="265"/>
      <c r="K373" s="45"/>
      <c r="L373" s="243"/>
      <c r="M373" s="243"/>
      <c r="N373" s="265"/>
      <c r="O373" s="265"/>
      <c r="P373" s="265"/>
      <c r="Q373" s="266"/>
      <c r="R373" s="243"/>
    </row>
    <row r="374" spans="3:18" customFormat="1" x14ac:dyDescent="0.25">
      <c r="C374" s="243"/>
      <c r="D374" s="45"/>
      <c r="E374" s="45"/>
      <c r="F374" s="45"/>
      <c r="G374" s="45"/>
      <c r="H374" s="45"/>
      <c r="I374" s="265"/>
      <c r="J374" s="265"/>
      <c r="K374" s="45"/>
      <c r="L374" s="243"/>
      <c r="M374" s="243"/>
      <c r="N374" s="265"/>
      <c r="O374" s="265"/>
      <c r="P374" s="265"/>
      <c r="Q374" s="266"/>
      <c r="R374" s="243"/>
    </row>
    <row r="375" spans="3:18" customFormat="1" x14ac:dyDescent="0.25">
      <c r="C375" s="243"/>
      <c r="D375" s="45"/>
      <c r="E375" s="45"/>
      <c r="F375" s="45"/>
      <c r="G375" s="45"/>
      <c r="H375" s="45"/>
      <c r="I375" s="265"/>
      <c r="J375" s="265"/>
      <c r="K375" s="45"/>
      <c r="L375" s="243"/>
      <c r="M375" s="243"/>
      <c r="N375" s="265"/>
      <c r="O375" s="265"/>
      <c r="P375" s="265"/>
      <c r="Q375" s="266"/>
      <c r="R375" s="243"/>
    </row>
    <row r="376" spans="3:18" customFormat="1" x14ac:dyDescent="0.25">
      <c r="C376" s="243"/>
      <c r="D376" s="45"/>
      <c r="E376" s="45"/>
      <c r="F376" s="45"/>
      <c r="G376" s="45"/>
      <c r="H376" s="45"/>
      <c r="I376" s="265"/>
      <c r="J376" s="265"/>
      <c r="K376" s="45"/>
      <c r="L376" s="243"/>
      <c r="M376" s="243"/>
      <c r="N376" s="265"/>
      <c r="O376" s="265"/>
      <c r="P376" s="265"/>
      <c r="Q376" s="266"/>
      <c r="R376" s="243"/>
    </row>
    <row r="377" spans="3:18" customFormat="1" x14ac:dyDescent="0.25">
      <c r="C377" s="243"/>
      <c r="D377" s="45"/>
      <c r="E377" s="45"/>
      <c r="F377" s="45"/>
      <c r="G377" s="45"/>
      <c r="H377" s="45"/>
      <c r="I377" s="265"/>
      <c r="J377" s="265"/>
      <c r="K377" s="45"/>
      <c r="L377" s="243"/>
      <c r="M377" s="243"/>
      <c r="N377" s="265"/>
      <c r="O377" s="265"/>
      <c r="P377" s="265"/>
      <c r="Q377" s="266"/>
      <c r="R377" s="243"/>
    </row>
    <row r="378" spans="3:18" customFormat="1" x14ac:dyDescent="0.25">
      <c r="C378" s="243"/>
      <c r="D378" s="45"/>
      <c r="E378" s="45"/>
      <c r="F378" s="45"/>
      <c r="G378" s="45"/>
      <c r="H378" s="45"/>
      <c r="I378" s="265"/>
      <c r="J378" s="265"/>
      <c r="K378" s="45"/>
      <c r="L378" s="243"/>
      <c r="M378" s="243"/>
      <c r="N378" s="265"/>
      <c r="O378" s="265"/>
      <c r="P378" s="265"/>
      <c r="Q378" s="266"/>
      <c r="R378" s="243"/>
    </row>
    <row r="379" spans="3:18" customFormat="1" x14ac:dyDescent="0.25">
      <c r="C379" s="243"/>
      <c r="D379" s="45"/>
      <c r="E379" s="45"/>
      <c r="F379" s="45"/>
      <c r="G379" s="45"/>
      <c r="H379" s="45"/>
      <c r="I379" s="265"/>
      <c r="J379" s="265"/>
      <c r="K379" s="45"/>
      <c r="L379" s="243"/>
      <c r="M379" s="243"/>
      <c r="N379" s="265"/>
      <c r="O379" s="265"/>
      <c r="P379" s="265"/>
      <c r="Q379" s="266"/>
      <c r="R379" s="243"/>
    </row>
    <row r="380" spans="3:18" customFormat="1" x14ac:dyDescent="0.25">
      <c r="C380" s="243"/>
      <c r="D380" s="45"/>
      <c r="E380" s="45"/>
      <c r="F380" s="45"/>
      <c r="G380" s="45"/>
      <c r="H380" s="45"/>
      <c r="I380" s="265"/>
      <c r="J380" s="265"/>
      <c r="K380" s="45"/>
      <c r="L380" s="243"/>
      <c r="M380" s="243"/>
      <c r="N380" s="265"/>
      <c r="O380" s="265"/>
      <c r="P380" s="265"/>
      <c r="Q380" s="266"/>
      <c r="R380" s="243"/>
    </row>
    <row r="381" spans="3:18" customFormat="1" x14ac:dyDescent="0.25">
      <c r="C381" s="243"/>
      <c r="D381" s="45"/>
      <c r="E381" s="45"/>
      <c r="F381" s="45"/>
      <c r="G381" s="45"/>
      <c r="H381" s="45"/>
      <c r="I381" s="265"/>
      <c r="J381" s="265"/>
      <c r="K381" s="45"/>
      <c r="L381" s="243"/>
      <c r="M381" s="243"/>
      <c r="N381" s="265"/>
      <c r="O381" s="265"/>
      <c r="P381" s="265"/>
      <c r="Q381" s="266"/>
      <c r="R381" s="243"/>
    </row>
    <row r="382" spans="3:18" customFormat="1" x14ac:dyDescent="0.25">
      <c r="C382" s="243"/>
      <c r="D382" s="45"/>
      <c r="E382" s="45"/>
      <c r="F382" s="45"/>
      <c r="G382" s="45"/>
      <c r="H382" s="45"/>
      <c r="I382" s="265"/>
      <c r="J382" s="265"/>
      <c r="K382" s="45"/>
      <c r="L382" s="243"/>
      <c r="M382" s="243"/>
      <c r="N382" s="265"/>
      <c r="O382" s="265"/>
      <c r="P382" s="265"/>
      <c r="Q382" s="266"/>
      <c r="R382" s="243"/>
    </row>
    <row r="383" spans="3:18" customFormat="1" x14ac:dyDescent="0.25">
      <c r="C383" s="243"/>
      <c r="D383" s="45"/>
      <c r="E383" s="45"/>
      <c r="F383" s="45"/>
      <c r="G383" s="45"/>
      <c r="H383" s="45"/>
      <c r="I383" s="265"/>
      <c r="J383" s="265"/>
      <c r="K383" s="45"/>
      <c r="L383" s="243"/>
      <c r="M383" s="243"/>
      <c r="N383" s="265"/>
      <c r="O383" s="265"/>
      <c r="P383" s="265"/>
      <c r="Q383" s="266"/>
      <c r="R383" s="243"/>
    </row>
    <row r="384" spans="3:18" customFormat="1" x14ac:dyDescent="0.25">
      <c r="C384" s="243"/>
      <c r="D384" s="45"/>
      <c r="E384" s="45"/>
      <c r="F384" s="45"/>
      <c r="G384" s="45"/>
      <c r="H384" s="45"/>
      <c r="I384" s="265"/>
      <c r="J384" s="265"/>
      <c r="K384" s="45"/>
      <c r="L384" s="243"/>
      <c r="M384" s="243"/>
      <c r="N384" s="265"/>
      <c r="O384" s="265"/>
      <c r="P384" s="265"/>
      <c r="Q384" s="266"/>
      <c r="R384" s="243"/>
    </row>
    <row r="385" spans="3:18" customFormat="1" x14ac:dyDescent="0.25">
      <c r="C385" s="243"/>
      <c r="D385" s="45"/>
      <c r="E385" s="45"/>
      <c r="F385" s="45"/>
      <c r="G385" s="45"/>
      <c r="H385" s="45"/>
      <c r="I385" s="265"/>
      <c r="J385" s="265"/>
      <c r="K385" s="45"/>
      <c r="L385" s="243"/>
      <c r="M385" s="243"/>
      <c r="N385" s="265"/>
      <c r="O385" s="265"/>
      <c r="P385" s="265"/>
      <c r="Q385" s="266"/>
      <c r="R385" s="243"/>
    </row>
    <row r="386" spans="3:18" customFormat="1" x14ac:dyDescent="0.25">
      <c r="C386" s="243"/>
      <c r="D386" s="45"/>
      <c r="E386" s="45"/>
      <c r="F386" s="45"/>
      <c r="G386" s="45"/>
      <c r="H386" s="45"/>
      <c r="I386" s="265"/>
      <c r="J386" s="265"/>
      <c r="K386" s="45"/>
      <c r="L386" s="243"/>
      <c r="M386" s="243"/>
      <c r="N386" s="265"/>
      <c r="O386" s="265"/>
      <c r="P386" s="265"/>
      <c r="Q386" s="266"/>
      <c r="R386" s="243"/>
    </row>
    <row r="387" spans="3:18" customFormat="1" x14ac:dyDescent="0.25">
      <c r="C387" s="243"/>
      <c r="D387" s="45"/>
      <c r="E387" s="45"/>
      <c r="F387" s="45"/>
      <c r="G387" s="45"/>
      <c r="H387" s="45"/>
      <c r="I387" s="265"/>
      <c r="J387" s="265"/>
      <c r="K387" s="45"/>
      <c r="L387" s="243"/>
      <c r="M387" s="243"/>
      <c r="N387" s="265"/>
      <c r="O387" s="265"/>
      <c r="P387" s="265"/>
      <c r="Q387" s="266"/>
      <c r="R387" s="243"/>
    </row>
    <row r="388" spans="3:18" customFormat="1" x14ac:dyDescent="0.25">
      <c r="C388" s="243"/>
      <c r="D388" s="45"/>
      <c r="E388" s="45"/>
      <c r="F388" s="45"/>
      <c r="G388" s="45"/>
      <c r="H388" s="45"/>
      <c r="I388" s="265"/>
      <c r="J388" s="265"/>
      <c r="K388" s="45"/>
      <c r="L388" s="243"/>
      <c r="M388" s="243"/>
      <c r="N388" s="265"/>
      <c r="O388" s="265"/>
      <c r="P388" s="265"/>
      <c r="Q388" s="266"/>
      <c r="R388" s="243"/>
    </row>
    <row r="389" spans="3:18" customFormat="1" x14ac:dyDescent="0.25">
      <c r="C389" s="243"/>
      <c r="D389" s="45"/>
      <c r="E389" s="45"/>
      <c r="F389" s="45"/>
      <c r="G389" s="45"/>
      <c r="H389" s="45"/>
      <c r="I389" s="265"/>
      <c r="J389" s="265"/>
      <c r="K389" s="45"/>
      <c r="L389" s="243"/>
      <c r="M389" s="243"/>
      <c r="N389" s="265"/>
      <c r="O389" s="265"/>
      <c r="P389" s="265"/>
      <c r="Q389" s="266"/>
      <c r="R389" s="243"/>
    </row>
    <row r="390" spans="3:18" customFormat="1" x14ac:dyDescent="0.25">
      <c r="C390" s="243"/>
      <c r="D390" s="45"/>
      <c r="E390" s="45"/>
      <c r="F390" s="45"/>
      <c r="G390" s="45"/>
      <c r="H390" s="45"/>
      <c r="I390" s="265"/>
      <c r="J390" s="265"/>
      <c r="K390" s="45"/>
      <c r="L390" s="243"/>
      <c r="M390" s="243"/>
      <c r="N390" s="265"/>
      <c r="O390" s="265"/>
      <c r="P390" s="265"/>
      <c r="Q390" s="266"/>
      <c r="R390" s="243"/>
    </row>
    <row r="391" spans="3:18" customFormat="1" x14ac:dyDescent="0.25">
      <c r="C391" s="243"/>
      <c r="D391" s="45"/>
      <c r="E391" s="45"/>
      <c r="F391" s="45"/>
      <c r="G391" s="45"/>
      <c r="H391" s="45"/>
      <c r="I391" s="265"/>
      <c r="J391" s="265"/>
      <c r="K391" s="45"/>
      <c r="L391" s="243"/>
      <c r="M391" s="243"/>
      <c r="N391" s="265"/>
      <c r="O391" s="265"/>
      <c r="P391" s="265"/>
      <c r="Q391" s="266"/>
      <c r="R391" s="243"/>
    </row>
    <row r="392" spans="3:18" customFormat="1" x14ac:dyDescent="0.25">
      <c r="C392" s="243"/>
      <c r="D392" s="45"/>
      <c r="E392" s="45"/>
      <c r="F392" s="45"/>
      <c r="G392" s="45"/>
      <c r="H392" s="45"/>
      <c r="I392" s="265"/>
      <c r="J392" s="265"/>
      <c r="K392" s="45"/>
      <c r="L392" s="243"/>
      <c r="M392" s="243"/>
      <c r="N392" s="265"/>
      <c r="O392" s="265"/>
      <c r="P392" s="265"/>
      <c r="Q392" s="266"/>
      <c r="R392" s="243"/>
    </row>
    <row r="393" spans="3:18" customFormat="1" x14ac:dyDescent="0.25">
      <c r="C393" s="243"/>
      <c r="D393" s="45"/>
      <c r="E393" s="45"/>
      <c r="F393" s="45"/>
      <c r="G393" s="45"/>
      <c r="H393" s="45"/>
      <c r="I393" s="265"/>
      <c r="J393" s="265"/>
      <c r="K393" s="45"/>
      <c r="L393" s="243"/>
      <c r="M393" s="243"/>
      <c r="N393" s="265"/>
      <c r="O393" s="265"/>
      <c r="P393" s="265"/>
      <c r="Q393" s="266"/>
      <c r="R393" s="243"/>
    </row>
    <row r="394" spans="3:18" customFormat="1" x14ac:dyDescent="0.25">
      <c r="C394" s="243"/>
      <c r="D394" s="45"/>
      <c r="E394" s="45"/>
      <c r="F394" s="45"/>
      <c r="G394" s="45"/>
      <c r="H394" s="45"/>
      <c r="I394" s="265"/>
      <c r="J394" s="265"/>
      <c r="K394" s="45"/>
      <c r="L394" s="243"/>
      <c r="M394" s="243"/>
      <c r="N394" s="265"/>
      <c r="O394" s="265"/>
      <c r="P394" s="265"/>
      <c r="Q394" s="266"/>
      <c r="R394" s="243"/>
    </row>
    <row r="395" spans="3:18" customFormat="1" x14ac:dyDescent="0.25">
      <c r="C395" s="243"/>
      <c r="D395" s="45"/>
      <c r="E395" s="45"/>
      <c r="F395" s="45"/>
      <c r="G395" s="45"/>
      <c r="H395" s="45"/>
      <c r="I395" s="265"/>
      <c r="J395" s="265"/>
      <c r="K395" s="45"/>
      <c r="L395" s="243"/>
      <c r="M395" s="243"/>
      <c r="N395" s="265"/>
      <c r="O395" s="265"/>
      <c r="P395" s="265"/>
      <c r="Q395" s="266"/>
      <c r="R395" s="243"/>
    </row>
    <row r="396" spans="3:18" customFormat="1" x14ac:dyDescent="0.25">
      <c r="C396" s="243"/>
      <c r="D396" s="45"/>
      <c r="E396" s="45"/>
      <c r="F396" s="45"/>
      <c r="G396" s="45"/>
      <c r="H396" s="45"/>
      <c r="I396" s="265"/>
      <c r="J396" s="265"/>
      <c r="K396" s="45"/>
      <c r="L396" s="243"/>
      <c r="M396" s="243"/>
      <c r="N396" s="265"/>
      <c r="O396" s="265"/>
      <c r="P396" s="265"/>
      <c r="Q396" s="266"/>
      <c r="R396" s="243"/>
    </row>
    <row r="397" spans="3:18" customFormat="1" x14ac:dyDescent="0.25">
      <c r="C397" s="243"/>
      <c r="D397" s="45"/>
      <c r="E397" s="45"/>
      <c r="F397" s="45"/>
      <c r="G397" s="45"/>
      <c r="H397" s="45"/>
      <c r="I397" s="265"/>
      <c r="J397" s="265"/>
      <c r="K397" s="45"/>
      <c r="L397" s="243"/>
      <c r="M397" s="243"/>
      <c r="N397" s="265"/>
      <c r="O397" s="265"/>
      <c r="P397" s="265"/>
      <c r="Q397" s="266"/>
      <c r="R397" s="243"/>
    </row>
    <row r="398" spans="3:18" customFormat="1" x14ac:dyDescent="0.25">
      <c r="C398" s="243"/>
      <c r="D398" s="45"/>
      <c r="E398" s="45"/>
      <c r="F398" s="45"/>
      <c r="G398" s="45"/>
      <c r="H398" s="45"/>
      <c r="I398" s="265"/>
      <c r="J398" s="265"/>
      <c r="K398" s="45"/>
      <c r="L398" s="243"/>
      <c r="M398" s="243"/>
      <c r="N398" s="265"/>
      <c r="O398" s="265"/>
      <c r="P398" s="265"/>
      <c r="Q398" s="266"/>
      <c r="R398" s="243"/>
    </row>
    <row r="399" spans="3:18" customFormat="1" x14ac:dyDescent="0.25">
      <c r="C399" s="243"/>
      <c r="D399" s="45"/>
      <c r="E399" s="45"/>
      <c r="F399" s="45"/>
      <c r="G399" s="45"/>
      <c r="H399" s="45"/>
      <c r="I399" s="265"/>
      <c r="J399" s="265"/>
      <c r="K399" s="45"/>
      <c r="L399" s="243"/>
      <c r="M399" s="243"/>
      <c r="N399" s="265"/>
      <c r="O399" s="265"/>
      <c r="P399" s="265"/>
      <c r="Q399" s="266"/>
      <c r="R399" s="243"/>
    </row>
    <row r="400" spans="3:18" customFormat="1" x14ac:dyDescent="0.25">
      <c r="C400" s="243"/>
      <c r="D400" s="45"/>
      <c r="E400" s="45"/>
      <c r="F400" s="45"/>
      <c r="G400" s="45"/>
      <c r="H400" s="45"/>
      <c r="I400" s="265"/>
      <c r="J400" s="265"/>
      <c r="K400" s="45"/>
      <c r="L400" s="243"/>
      <c r="M400" s="243"/>
      <c r="N400" s="265"/>
      <c r="O400" s="265"/>
      <c r="P400" s="265"/>
      <c r="Q400" s="266"/>
      <c r="R400" s="243"/>
    </row>
    <row r="401" spans="3:18" customFormat="1" x14ac:dyDescent="0.25">
      <c r="C401" s="243"/>
      <c r="D401" s="45"/>
      <c r="E401" s="45"/>
      <c r="F401" s="45"/>
      <c r="G401" s="45"/>
      <c r="H401" s="45"/>
      <c r="I401" s="265"/>
      <c r="J401" s="265"/>
      <c r="K401" s="45"/>
      <c r="L401" s="243"/>
      <c r="M401" s="243"/>
      <c r="N401" s="265"/>
      <c r="O401" s="265"/>
      <c r="P401" s="265"/>
      <c r="Q401" s="266"/>
      <c r="R401" s="243"/>
    </row>
    <row r="402" spans="3:18" customFormat="1" x14ac:dyDescent="0.25">
      <c r="C402" s="243"/>
      <c r="D402" s="45"/>
      <c r="E402" s="45"/>
      <c r="F402" s="45"/>
      <c r="G402" s="45"/>
      <c r="H402" s="45"/>
      <c r="I402" s="265"/>
      <c r="J402" s="265"/>
      <c r="K402" s="45"/>
      <c r="L402" s="243"/>
      <c r="M402" s="243"/>
      <c r="N402" s="265"/>
      <c r="O402" s="265"/>
      <c r="P402" s="265"/>
      <c r="Q402" s="266"/>
      <c r="R402" s="243"/>
    </row>
    <row r="403" spans="3:18" customFormat="1" x14ac:dyDescent="0.25">
      <c r="C403" s="243"/>
      <c r="D403" s="45"/>
      <c r="E403" s="45"/>
      <c r="F403" s="45"/>
      <c r="G403" s="45"/>
      <c r="H403" s="45"/>
      <c r="I403" s="265"/>
      <c r="J403" s="265"/>
      <c r="K403" s="45"/>
      <c r="L403" s="243"/>
      <c r="M403" s="243"/>
      <c r="N403" s="265"/>
      <c r="O403" s="265"/>
      <c r="P403" s="265"/>
      <c r="Q403" s="266"/>
      <c r="R403" s="243"/>
    </row>
    <row r="404" spans="3:18" customFormat="1" x14ac:dyDescent="0.25">
      <c r="C404" s="243"/>
      <c r="D404" s="45"/>
      <c r="E404" s="45"/>
      <c r="F404" s="45"/>
      <c r="G404" s="45"/>
      <c r="H404" s="45"/>
      <c r="I404" s="265"/>
      <c r="J404" s="265"/>
      <c r="K404" s="45"/>
      <c r="L404" s="243"/>
      <c r="M404" s="243"/>
      <c r="N404" s="265"/>
      <c r="O404" s="265"/>
      <c r="P404" s="265"/>
      <c r="Q404" s="266"/>
      <c r="R404" s="243"/>
    </row>
    <row r="405" spans="3:18" customFormat="1" x14ac:dyDescent="0.25">
      <c r="C405" s="243"/>
      <c r="D405" s="45"/>
      <c r="E405" s="45"/>
      <c r="F405" s="45"/>
      <c r="G405" s="45"/>
      <c r="H405" s="45"/>
      <c r="I405" s="265"/>
      <c r="J405" s="265"/>
      <c r="K405" s="45"/>
      <c r="L405" s="243"/>
      <c r="M405" s="243"/>
      <c r="N405" s="265"/>
      <c r="O405" s="265"/>
      <c r="P405" s="265"/>
      <c r="Q405" s="266"/>
      <c r="R405" s="243"/>
    </row>
    <row r="406" spans="3:18" customFormat="1" x14ac:dyDescent="0.25">
      <c r="C406" s="243"/>
      <c r="D406" s="45"/>
      <c r="E406" s="45"/>
      <c r="F406" s="45"/>
      <c r="G406" s="45"/>
      <c r="H406" s="45"/>
      <c r="I406" s="265"/>
      <c r="J406" s="265"/>
      <c r="K406" s="45"/>
      <c r="L406" s="243"/>
      <c r="M406" s="243"/>
      <c r="N406" s="265"/>
      <c r="O406" s="265"/>
      <c r="P406" s="265"/>
      <c r="Q406" s="266"/>
      <c r="R406" s="243"/>
    </row>
    <row r="407" spans="3:18" customFormat="1" x14ac:dyDescent="0.25">
      <c r="C407" s="243"/>
      <c r="D407" s="45"/>
      <c r="E407" s="45"/>
      <c r="F407" s="45"/>
      <c r="G407" s="45"/>
      <c r="H407" s="45"/>
      <c r="I407" s="265"/>
      <c r="J407" s="265"/>
      <c r="K407" s="45"/>
      <c r="L407" s="243"/>
      <c r="M407" s="243"/>
      <c r="N407" s="265"/>
      <c r="O407" s="265"/>
      <c r="P407" s="265"/>
      <c r="Q407" s="266"/>
      <c r="R407" s="243"/>
    </row>
    <row r="408" spans="3:18" customFormat="1" x14ac:dyDescent="0.25">
      <c r="C408" s="243"/>
      <c r="D408" s="45"/>
      <c r="E408" s="45"/>
      <c r="F408" s="45"/>
      <c r="G408" s="45"/>
      <c r="H408" s="45"/>
      <c r="I408" s="265"/>
      <c r="J408" s="265"/>
      <c r="K408" s="45"/>
      <c r="L408" s="243"/>
      <c r="M408" s="243"/>
      <c r="N408" s="265"/>
      <c r="O408" s="265"/>
      <c r="P408" s="265"/>
      <c r="Q408" s="266"/>
      <c r="R408" s="243"/>
    </row>
    <row r="409" spans="3:18" customFormat="1" x14ac:dyDescent="0.25">
      <c r="C409" s="243"/>
      <c r="D409" s="45"/>
      <c r="E409" s="45"/>
      <c r="F409" s="45"/>
      <c r="G409" s="45"/>
      <c r="H409" s="45"/>
      <c r="I409" s="265"/>
      <c r="J409" s="265"/>
      <c r="K409" s="45"/>
      <c r="L409" s="243"/>
      <c r="M409" s="243"/>
      <c r="N409" s="265"/>
      <c r="O409" s="265"/>
      <c r="P409" s="265"/>
      <c r="Q409" s="266"/>
      <c r="R409" s="243"/>
    </row>
    <row r="410" spans="3:18" customFormat="1" x14ac:dyDescent="0.25">
      <c r="C410" s="243"/>
      <c r="D410" s="45"/>
      <c r="E410" s="45"/>
      <c r="F410" s="45"/>
      <c r="G410" s="45"/>
      <c r="H410" s="45"/>
      <c r="I410" s="265"/>
      <c r="J410" s="265"/>
      <c r="K410" s="45"/>
      <c r="L410" s="243"/>
      <c r="M410" s="243"/>
      <c r="N410" s="265"/>
      <c r="O410" s="265"/>
      <c r="P410" s="265"/>
      <c r="Q410" s="266"/>
      <c r="R410" s="243"/>
    </row>
    <row r="411" spans="3:18" customFormat="1" x14ac:dyDescent="0.25">
      <c r="C411" s="243"/>
      <c r="D411" s="45"/>
      <c r="E411" s="45"/>
      <c r="F411" s="45"/>
      <c r="G411" s="45"/>
      <c r="H411" s="45"/>
      <c r="I411" s="265"/>
      <c r="J411" s="265"/>
      <c r="K411" s="45"/>
      <c r="L411" s="243"/>
      <c r="M411" s="243"/>
      <c r="N411" s="265"/>
      <c r="O411" s="265"/>
      <c r="P411" s="265"/>
      <c r="Q411" s="266"/>
      <c r="R411" s="243"/>
    </row>
    <row r="412" spans="3:18" customFormat="1" x14ac:dyDescent="0.25">
      <c r="C412" s="243"/>
      <c r="D412" s="45"/>
      <c r="E412" s="45"/>
      <c r="F412" s="45"/>
      <c r="G412" s="45"/>
      <c r="H412" s="45"/>
      <c r="I412" s="265"/>
      <c r="J412" s="265"/>
      <c r="K412" s="45"/>
      <c r="L412" s="243"/>
      <c r="M412" s="243"/>
      <c r="N412" s="265"/>
      <c r="O412" s="265"/>
      <c r="P412" s="265"/>
      <c r="Q412" s="266"/>
      <c r="R412" s="243"/>
    </row>
    <row r="413" spans="3:18" customFormat="1" x14ac:dyDescent="0.25">
      <c r="C413" s="243"/>
      <c r="D413" s="45"/>
      <c r="E413" s="45"/>
      <c r="F413" s="45"/>
      <c r="G413" s="45"/>
      <c r="H413" s="45"/>
      <c r="I413" s="265"/>
      <c r="J413" s="265"/>
      <c r="K413" s="45"/>
      <c r="L413" s="243"/>
      <c r="M413" s="243"/>
      <c r="N413" s="265"/>
      <c r="O413" s="265"/>
      <c r="P413" s="265"/>
      <c r="Q413" s="266"/>
      <c r="R413" s="243"/>
    </row>
    <row r="414" spans="3:18" customFormat="1" x14ac:dyDescent="0.25">
      <c r="C414" s="243"/>
      <c r="D414" s="45"/>
      <c r="E414" s="45"/>
      <c r="F414" s="45"/>
      <c r="G414" s="45"/>
      <c r="H414" s="45"/>
      <c r="I414" s="265"/>
      <c r="J414" s="265"/>
      <c r="K414" s="45"/>
      <c r="L414" s="243"/>
      <c r="M414" s="243"/>
      <c r="N414" s="265"/>
      <c r="O414" s="265"/>
      <c r="P414" s="265"/>
      <c r="Q414" s="266"/>
      <c r="R414" s="243"/>
    </row>
    <row r="415" spans="3:18" customFormat="1" x14ac:dyDescent="0.25">
      <c r="C415" s="243"/>
      <c r="D415" s="45"/>
      <c r="E415" s="45"/>
      <c r="F415" s="45"/>
      <c r="G415" s="45"/>
      <c r="H415" s="45"/>
      <c r="I415" s="265"/>
      <c r="J415" s="265"/>
      <c r="K415" s="45"/>
      <c r="L415" s="243"/>
      <c r="M415" s="243"/>
      <c r="N415" s="265"/>
      <c r="O415" s="265"/>
      <c r="P415" s="265"/>
      <c r="Q415" s="266"/>
      <c r="R415" s="243"/>
    </row>
    <row r="416" spans="3:18" customFormat="1" x14ac:dyDescent="0.25">
      <c r="C416" s="243"/>
      <c r="D416" s="45"/>
      <c r="E416" s="45"/>
      <c r="F416" s="45"/>
      <c r="G416" s="45"/>
      <c r="H416" s="45"/>
      <c r="I416" s="265"/>
      <c r="J416" s="265"/>
      <c r="K416" s="45"/>
      <c r="L416" s="243"/>
      <c r="M416" s="243"/>
      <c r="N416" s="265"/>
      <c r="O416" s="265"/>
      <c r="P416" s="265"/>
      <c r="Q416" s="266"/>
      <c r="R416" s="243"/>
    </row>
    <row r="417" spans="3:18" customFormat="1" x14ac:dyDescent="0.25">
      <c r="C417" s="243"/>
      <c r="D417" s="45"/>
      <c r="E417" s="45"/>
      <c r="F417" s="45"/>
      <c r="G417" s="45"/>
      <c r="H417" s="45"/>
      <c r="I417" s="265"/>
      <c r="J417" s="265"/>
      <c r="K417" s="45"/>
      <c r="L417" s="243"/>
      <c r="M417" s="243"/>
      <c r="N417" s="265"/>
      <c r="O417" s="265"/>
      <c r="P417" s="265"/>
      <c r="Q417" s="266"/>
      <c r="R417" s="243"/>
    </row>
    <row r="418" spans="3:18" customFormat="1" x14ac:dyDescent="0.25">
      <c r="C418" s="243"/>
      <c r="D418" s="45"/>
      <c r="E418" s="45"/>
      <c r="F418" s="45"/>
      <c r="G418" s="45"/>
      <c r="H418" s="45"/>
      <c r="I418" s="265"/>
      <c r="J418" s="265"/>
      <c r="K418" s="45"/>
      <c r="L418" s="243"/>
      <c r="M418" s="243"/>
      <c r="N418" s="265"/>
      <c r="O418" s="265"/>
      <c r="P418" s="265"/>
      <c r="Q418" s="266"/>
      <c r="R418" s="243"/>
    </row>
    <row r="419" spans="3:18" customFormat="1" x14ac:dyDescent="0.25">
      <c r="C419" s="243"/>
      <c r="D419" s="45"/>
      <c r="E419" s="45"/>
      <c r="F419" s="45"/>
      <c r="G419" s="45"/>
      <c r="H419" s="45"/>
      <c r="I419" s="265"/>
      <c r="J419" s="265"/>
      <c r="K419" s="45"/>
      <c r="L419" s="243"/>
      <c r="M419" s="243"/>
      <c r="N419" s="265"/>
      <c r="O419" s="265"/>
      <c r="P419" s="265"/>
      <c r="Q419" s="266"/>
      <c r="R419" s="243"/>
    </row>
    <row r="420" spans="3:18" customFormat="1" x14ac:dyDescent="0.25">
      <c r="C420" s="243"/>
      <c r="D420" s="45"/>
      <c r="E420" s="45"/>
      <c r="F420" s="45"/>
      <c r="G420" s="45"/>
      <c r="H420" s="45"/>
      <c r="I420" s="265"/>
      <c r="J420" s="265"/>
      <c r="K420" s="45"/>
      <c r="L420" s="243"/>
      <c r="M420" s="243"/>
      <c r="N420" s="265"/>
      <c r="O420" s="265"/>
      <c r="P420" s="265"/>
      <c r="Q420" s="266"/>
      <c r="R420" s="243"/>
    </row>
    <row r="421" spans="3:18" customFormat="1" x14ac:dyDescent="0.25">
      <c r="C421" s="243"/>
      <c r="D421" s="45"/>
      <c r="E421" s="45"/>
      <c r="F421" s="45"/>
      <c r="G421" s="45"/>
      <c r="H421" s="45"/>
      <c r="I421" s="265"/>
      <c r="J421" s="265"/>
      <c r="K421" s="45"/>
      <c r="L421" s="243"/>
      <c r="M421" s="243"/>
      <c r="N421" s="265"/>
      <c r="O421" s="265"/>
      <c r="P421" s="265"/>
      <c r="Q421" s="266"/>
      <c r="R421" s="243"/>
    </row>
    <row r="422" spans="3:18" customFormat="1" x14ac:dyDescent="0.25">
      <c r="C422" s="243"/>
      <c r="D422" s="45"/>
      <c r="E422" s="45"/>
      <c r="F422" s="45"/>
      <c r="G422" s="45"/>
      <c r="H422" s="45"/>
      <c r="I422" s="265"/>
      <c r="J422" s="265"/>
      <c r="K422" s="45"/>
      <c r="L422" s="243"/>
      <c r="M422" s="243"/>
      <c r="N422" s="265"/>
      <c r="O422" s="265"/>
      <c r="P422" s="265"/>
      <c r="Q422" s="266"/>
      <c r="R422" s="243"/>
    </row>
    <row r="423" spans="3:18" customFormat="1" x14ac:dyDescent="0.25">
      <c r="C423" s="243"/>
      <c r="D423" s="45"/>
      <c r="E423" s="45"/>
      <c r="F423" s="45"/>
      <c r="G423" s="45"/>
      <c r="H423" s="45"/>
      <c r="I423" s="265"/>
      <c r="J423" s="265"/>
      <c r="K423" s="45"/>
      <c r="L423" s="243"/>
      <c r="M423" s="243"/>
      <c r="N423" s="265"/>
      <c r="O423" s="265"/>
      <c r="P423" s="265"/>
      <c r="Q423" s="266"/>
      <c r="R423" s="243"/>
    </row>
    <row r="424" spans="3:18" customFormat="1" x14ac:dyDescent="0.25">
      <c r="C424" s="243"/>
      <c r="D424" s="45"/>
      <c r="E424" s="45"/>
      <c r="F424" s="45"/>
      <c r="G424" s="45"/>
      <c r="H424" s="45"/>
      <c r="I424" s="265"/>
      <c r="J424" s="265"/>
      <c r="K424" s="45"/>
      <c r="L424" s="243"/>
      <c r="M424" s="243"/>
      <c r="N424" s="265"/>
      <c r="O424" s="265"/>
      <c r="P424" s="265"/>
      <c r="Q424" s="266"/>
      <c r="R424" s="243"/>
    </row>
    <row r="425" spans="3:18" customFormat="1" x14ac:dyDescent="0.25">
      <c r="C425" s="243"/>
      <c r="D425" s="45"/>
      <c r="E425" s="45"/>
      <c r="F425" s="45"/>
      <c r="G425" s="45"/>
      <c r="H425" s="45"/>
      <c r="I425" s="265"/>
      <c r="J425" s="265"/>
      <c r="K425" s="45"/>
      <c r="L425" s="243"/>
      <c r="M425" s="243"/>
      <c r="N425" s="265"/>
      <c r="O425" s="265"/>
      <c r="P425" s="265"/>
      <c r="Q425" s="266"/>
      <c r="R425" s="243"/>
    </row>
    <row r="426" spans="3:18" customFormat="1" x14ac:dyDescent="0.25">
      <c r="C426" s="243"/>
      <c r="D426" s="45"/>
      <c r="E426" s="45"/>
      <c r="F426" s="45"/>
      <c r="G426" s="45"/>
      <c r="H426" s="45"/>
      <c r="I426" s="265"/>
      <c r="J426" s="265"/>
      <c r="K426" s="45"/>
      <c r="L426" s="243"/>
      <c r="M426" s="243"/>
      <c r="N426" s="265"/>
      <c r="O426" s="265"/>
      <c r="P426" s="265"/>
      <c r="Q426" s="266"/>
      <c r="R426" s="243"/>
    </row>
    <row r="427" spans="3:18" customFormat="1" x14ac:dyDescent="0.25">
      <c r="C427" s="243"/>
      <c r="D427" s="45"/>
      <c r="E427" s="45"/>
      <c r="F427" s="45"/>
      <c r="G427" s="45"/>
      <c r="H427" s="45"/>
      <c r="I427" s="265"/>
      <c r="J427" s="265"/>
      <c r="K427" s="45"/>
      <c r="L427" s="243"/>
      <c r="M427" s="243"/>
      <c r="N427" s="265"/>
      <c r="O427" s="265"/>
      <c r="P427" s="265"/>
      <c r="Q427" s="266"/>
      <c r="R427" s="243"/>
    </row>
    <row r="428" spans="3:18" customFormat="1" x14ac:dyDescent="0.25">
      <c r="C428" s="243"/>
      <c r="D428" s="45"/>
      <c r="E428" s="45"/>
      <c r="F428" s="45"/>
      <c r="G428" s="45"/>
      <c r="H428" s="45"/>
      <c r="I428" s="265"/>
      <c r="J428" s="265"/>
      <c r="K428" s="45"/>
      <c r="L428" s="243"/>
      <c r="M428" s="243"/>
      <c r="N428" s="265"/>
      <c r="O428" s="265"/>
      <c r="P428" s="265"/>
      <c r="Q428" s="266"/>
      <c r="R428" s="243"/>
    </row>
    <row r="429" spans="3:18" customFormat="1" x14ac:dyDescent="0.25">
      <c r="C429" s="243"/>
      <c r="D429" s="45"/>
      <c r="E429" s="45"/>
      <c r="F429" s="45"/>
      <c r="G429" s="45"/>
      <c r="H429" s="45"/>
      <c r="I429" s="265"/>
      <c r="J429" s="265"/>
      <c r="K429" s="45"/>
      <c r="L429" s="243"/>
      <c r="M429" s="243"/>
      <c r="N429" s="265"/>
      <c r="O429" s="265"/>
      <c r="P429" s="265"/>
      <c r="Q429" s="266"/>
      <c r="R429" s="243"/>
    </row>
    <row r="430" spans="3:18" customFormat="1" x14ac:dyDescent="0.25">
      <c r="C430" s="243"/>
      <c r="D430" s="45"/>
      <c r="E430" s="45"/>
      <c r="F430" s="45"/>
      <c r="G430" s="45"/>
      <c r="H430" s="45"/>
      <c r="I430" s="265"/>
      <c r="J430" s="265"/>
      <c r="K430" s="45"/>
      <c r="L430" s="243"/>
      <c r="M430" s="243"/>
      <c r="N430" s="265"/>
      <c r="O430" s="265"/>
      <c r="P430" s="265"/>
      <c r="Q430" s="266"/>
      <c r="R430" s="243"/>
    </row>
    <row r="431" spans="3:18" customFormat="1" x14ac:dyDescent="0.25">
      <c r="C431" s="243"/>
      <c r="D431" s="45"/>
      <c r="E431" s="45"/>
      <c r="F431" s="45"/>
      <c r="G431" s="45"/>
      <c r="H431" s="45"/>
      <c r="I431" s="265"/>
      <c r="J431" s="265"/>
      <c r="K431" s="45"/>
      <c r="L431" s="243"/>
      <c r="M431" s="243"/>
      <c r="N431" s="265"/>
      <c r="O431" s="265"/>
      <c r="P431" s="265"/>
      <c r="Q431" s="266"/>
      <c r="R431" s="243"/>
    </row>
    <row r="432" spans="3:18" customFormat="1" x14ac:dyDescent="0.25">
      <c r="C432" s="243"/>
      <c r="D432" s="45"/>
      <c r="E432" s="45"/>
      <c r="F432" s="45"/>
      <c r="G432" s="45"/>
      <c r="H432" s="45"/>
      <c r="I432" s="265"/>
      <c r="J432" s="265"/>
      <c r="K432" s="45"/>
      <c r="L432" s="243"/>
      <c r="M432" s="243"/>
      <c r="N432" s="265"/>
      <c r="O432" s="265"/>
      <c r="P432" s="265"/>
      <c r="Q432" s="266"/>
      <c r="R432" s="243"/>
    </row>
    <row r="433" spans="3:18" customFormat="1" x14ac:dyDescent="0.25">
      <c r="C433" s="243"/>
      <c r="D433" s="45"/>
      <c r="E433" s="45"/>
      <c r="F433" s="45"/>
      <c r="G433" s="45"/>
      <c r="H433" s="45"/>
      <c r="I433" s="265"/>
      <c r="J433" s="265"/>
      <c r="K433" s="45"/>
      <c r="L433" s="243"/>
      <c r="M433" s="243"/>
      <c r="N433" s="265"/>
      <c r="O433" s="265"/>
      <c r="P433" s="265"/>
      <c r="Q433" s="266"/>
      <c r="R433" s="243"/>
    </row>
    <row r="434" spans="3:18" customFormat="1" x14ac:dyDescent="0.25">
      <c r="C434" s="243"/>
      <c r="D434" s="45"/>
      <c r="E434" s="45"/>
      <c r="F434" s="45"/>
      <c r="G434" s="45"/>
      <c r="H434" s="45"/>
      <c r="I434" s="265"/>
      <c r="J434" s="265"/>
      <c r="K434" s="45"/>
      <c r="L434" s="243"/>
      <c r="M434" s="243"/>
      <c r="N434" s="265"/>
      <c r="O434" s="265"/>
      <c r="P434" s="265"/>
      <c r="Q434" s="266"/>
      <c r="R434" s="243"/>
    </row>
    <row r="435" spans="3:18" customFormat="1" x14ac:dyDescent="0.25">
      <c r="C435" s="243"/>
      <c r="D435" s="45"/>
      <c r="E435" s="45"/>
      <c r="F435" s="45"/>
      <c r="G435" s="45"/>
      <c r="H435" s="45"/>
      <c r="I435" s="265"/>
      <c r="J435" s="265"/>
      <c r="K435" s="45"/>
      <c r="L435" s="243"/>
      <c r="M435" s="243"/>
      <c r="N435" s="265"/>
      <c r="O435" s="265"/>
      <c r="P435" s="265"/>
      <c r="Q435" s="266"/>
      <c r="R435" s="243"/>
    </row>
    <row r="436" spans="3:18" customFormat="1" x14ac:dyDescent="0.25">
      <c r="C436" s="243"/>
      <c r="D436" s="45"/>
      <c r="E436" s="45"/>
      <c r="F436" s="45"/>
      <c r="G436" s="45"/>
      <c r="H436" s="45"/>
      <c r="I436" s="265"/>
      <c r="J436" s="265"/>
      <c r="K436" s="45"/>
      <c r="L436" s="243"/>
      <c r="M436" s="243"/>
      <c r="N436" s="265"/>
      <c r="O436" s="265"/>
      <c r="P436" s="265"/>
      <c r="Q436" s="266"/>
      <c r="R436" s="243"/>
    </row>
    <row r="437" spans="3:18" customFormat="1" x14ac:dyDescent="0.25">
      <c r="C437" s="243"/>
      <c r="D437" s="45"/>
      <c r="E437" s="45"/>
      <c r="F437" s="45"/>
      <c r="G437" s="45"/>
      <c r="H437" s="45"/>
      <c r="I437" s="265"/>
      <c r="J437" s="265"/>
      <c r="K437" s="45"/>
      <c r="L437" s="243"/>
      <c r="M437" s="243"/>
      <c r="N437" s="265"/>
      <c r="O437" s="265"/>
      <c r="P437" s="265"/>
      <c r="Q437" s="266"/>
      <c r="R437" s="243"/>
    </row>
    <row r="438" spans="3:18" customFormat="1" x14ac:dyDescent="0.25">
      <c r="C438" s="243"/>
      <c r="D438" s="45"/>
      <c r="E438" s="45"/>
      <c r="F438" s="45"/>
      <c r="G438" s="45"/>
      <c r="H438" s="45"/>
      <c r="I438" s="265"/>
      <c r="J438" s="265"/>
      <c r="K438" s="45"/>
      <c r="L438" s="243"/>
      <c r="M438" s="243"/>
      <c r="N438" s="265"/>
      <c r="O438" s="265"/>
      <c r="P438" s="265"/>
      <c r="Q438" s="266"/>
      <c r="R438" s="243"/>
    </row>
    <row r="439" spans="3:18" customFormat="1" x14ac:dyDescent="0.25">
      <c r="C439" s="243"/>
      <c r="D439" s="45"/>
      <c r="E439" s="45"/>
      <c r="F439" s="45"/>
      <c r="G439" s="45"/>
      <c r="H439" s="45"/>
      <c r="I439" s="265"/>
      <c r="J439" s="265"/>
      <c r="K439" s="45"/>
      <c r="L439" s="243"/>
      <c r="M439" s="243"/>
      <c r="N439" s="265"/>
      <c r="O439" s="265"/>
      <c r="P439" s="265"/>
      <c r="Q439" s="266"/>
      <c r="R439" s="243"/>
    </row>
    <row r="440" spans="3:18" customFormat="1" x14ac:dyDescent="0.25">
      <c r="C440" s="243"/>
      <c r="D440" s="45"/>
      <c r="E440" s="45"/>
      <c r="F440" s="45"/>
      <c r="G440" s="45"/>
      <c r="H440" s="45"/>
      <c r="I440" s="265"/>
      <c r="J440" s="265"/>
      <c r="K440" s="45"/>
      <c r="L440" s="243"/>
      <c r="M440" s="243"/>
      <c r="N440" s="265"/>
      <c r="O440" s="265"/>
      <c r="P440" s="265"/>
      <c r="Q440" s="266"/>
      <c r="R440" s="243"/>
    </row>
    <row r="441" spans="3:18" customFormat="1" x14ac:dyDescent="0.25">
      <c r="C441" s="243"/>
      <c r="D441" s="45"/>
      <c r="E441" s="45"/>
      <c r="F441" s="45"/>
      <c r="G441" s="45"/>
      <c r="H441" s="45"/>
      <c r="I441" s="265"/>
      <c r="J441" s="265"/>
      <c r="K441" s="45"/>
      <c r="L441" s="243"/>
      <c r="M441" s="243"/>
      <c r="N441" s="265"/>
      <c r="O441" s="265"/>
      <c r="P441" s="265"/>
      <c r="Q441" s="266"/>
      <c r="R441" s="243"/>
    </row>
    <row r="442" spans="3:18" customFormat="1" x14ac:dyDescent="0.25">
      <c r="C442" s="243"/>
      <c r="D442" s="45"/>
      <c r="E442" s="45"/>
      <c r="F442" s="45"/>
      <c r="G442" s="45"/>
      <c r="H442" s="45"/>
      <c r="I442" s="265"/>
      <c r="J442" s="265"/>
      <c r="K442" s="45"/>
      <c r="L442" s="243"/>
      <c r="M442" s="243"/>
      <c r="N442" s="265"/>
      <c r="O442" s="265"/>
      <c r="P442" s="265"/>
      <c r="Q442" s="266"/>
      <c r="R442" s="243"/>
    </row>
    <row r="443" spans="3:18" customFormat="1" x14ac:dyDescent="0.25">
      <c r="C443" s="243"/>
      <c r="D443" s="45"/>
      <c r="E443" s="45"/>
      <c r="F443" s="45"/>
      <c r="G443" s="45"/>
      <c r="H443" s="45"/>
      <c r="I443" s="265"/>
      <c r="J443" s="265"/>
      <c r="K443" s="45"/>
      <c r="L443" s="243"/>
      <c r="M443" s="243"/>
      <c r="N443" s="265"/>
      <c r="O443" s="265"/>
      <c r="P443" s="265"/>
      <c r="Q443" s="266"/>
      <c r="R443" s="243"/>
    </row>
    <row r="444" spans="3:18" customFormat="1" x14ac:dyDescent="0.25">
      <c r="C444" s="243"/>
      <c r="D444" s="45"/>
      <c r="E444" s="45"/>
      <c r="F444" s="45"/>
      <c r="G444" s="45"/>
      <c r="H444" s="45"/>
      <c r="I444" s="265"/>
      <c r="J444" s="265"/>
      <c r="K444" s="45"/>
      <c r="L444" s="243"/>
      <c r="M444" s="243"/>
      <c r="N444" s="265"/>
      <c r="O444" s="265"/>
      <c r="P444" s="265"/>
      <c r="Q444" s="266"/>
      <c r="R444" s="243"/>
    </row>
    <row r="445" spans="3:18" customFormat="1" x14ac:dyDescent="0.25">
      <c r="C445" s="243"/>
      <c r="D445" s="45"/>
      <c r="E445" s="45"/>
      <c r="F445" s="45"/>
      <c r="G445" s="45"/>
      <c r="H445" s="45"/>
      <c r="I445" s="265"/>
      <c r="J445" s="265"/>
      <c r="K445" s="45"/>
      <c r="L445" s="243"/>
      <c r="M445" s="243"/>
      <c r="N445" s="265"/>
      <c r="O445" s="265"/>
      <c r="P445" s="265"/>
      <c r="Q445" s="266"/>
      <c r="R445" s="243"/>
    </row>
    <row r="446" spans="3:18" customFormat="1" x14ac:dyDescent="0.25">
      <c r="C446" s="243"/>
      <c r="D446" s="45"/>
      <c r="E446" s="45"/>
      <c r="F446" s="45"/>
      <c r="G446" s="45"/>
      <c r="H446" s="45"/>
      <c r="I446" s="265"/>
      <c r="J446" s="265"/>
      <c r="K446" s="45"/>
      <c r="L446" s="243"/>
      <c r="M446" s="243"/>
      <c r="N446" s="265"/>
      <c r="O446" s="265"/>
      <c r="P446" s="265"/>
      <c r="Q446" s="266"/>
      <c r="R446" s="243"/>
    </row>
    <row r="447" spans="3:18" customFormat="1" x14ac:dyDescent="0.25">
      <c r="C447" s="243"/>
      <c r="D447" s="45"/>
      <c r="E447" s="45"/>
      <c r="F447" s="45"/>
      <c r="G447" s="45"/>
      <c r="H447" s="45"/>
      <c r="I447" s="265"/>
      <c r="J447" s="265"/>
      <c r="K447" s="45"/>
      <c r="L447" s="243"/>
      <c r="M447" s="243"/>
      <c r="N447" s="265"/>
      <c r="O447" s="265"/>
      <c r="P447" s="265"/>
      <c r="Q447" s="266"/>
      <c r="R447" s="243"/>
    </row>
    <row r="448" spans="3:18" customFormat="1" x14ac:dyDescent="0.25">
      <c r="C448" s="243"/>
      <c r="D448" s="45"/>
      <c r="E448" s="45"/>
      <c r="F448" s="45"/>
      <c r="G448" s="45"/>
      <c r="H448" s="45"/>
      <c r="I448" s="265"/>
      <c r="J448" s="265"/>
      <c r="K448" s="45"/>
      <c r="L448" s="243"/>
      <c r="M448" s="243"/>
      <c r="N448" s="265"/>
      <c r="O448" s="265"/>
      <c r="P448" s="265"/>
      <c r="Q448" s="266"/>
      <c r="R448" s="243"/>
    </row>
    <row r="449" spans="3:18" customFormat="1" x14ac:dyDescent="0.25">
      <c r="C449" s="243"/>
      <c r="D449" s="45"/>
      <c r="E449" s="45"/>
      <c r="F449" s="45"/>
      <c r="G449" s="45"/>
      <c r="H449" s="45"/>
      <c r="I449" s="265"/>
      <c r="J449" s="265"/>
      <c r="K449" s="45"/>
      <c r="L449" s="243"/>
      <c r="M449" s="243"/>
      <c r="N449" s="265"/>
      <c r="O449" s="265"/>
      <c r="P449" s="265"/>
      <c r="Q449" s="266"/>
      <c r="R449" s="243"/>
    </row>
    <row r="450" spans="3:18" customFormat="1" x14ac:dyDescent="0.25">
      <c r="C450" s="243"/>
      <c r="D450" s="45"/>
      <c r="E450" s="45"/>
      <c r="F450" s="45"/>
      <c r="G450" s="45"/>
      <c r="H450" s="45"/>
      <c r="I450" s="265"/>
      <c r="J450" s="265"/>
      <c r="K450" s="45"/>
      <c r="L450" s="243"/>
      <c r="M450" s="243"/>
      <c r="N450" s="265"/>
      <c r="O450" s="265"/>
      <c r="P450" s="265"/>
      <c r="Q450" s="266"/>
      <c r="R450" s="243"/>
    </row>
    <row r="451" spans="3:18" customFormat="1" x14ac:dyDescent="0.25">
      <c r="C451" s="243"/>
      <c r="D451" s="45"/>
      <c r="E451" s="45"/>
      <c r="F451" s="45"/>
      <c r="G451" s="45"/>
      <c r="H451" s="45"/>
      <c r="I451" s="265"/>
      <c r="J451" s="265"/>
      <c r="K451" s="45"/>
      <c r="L451" s="243"/>
      <c r="M451" s="243"/>
      <c r="N451" s="265"/>
      <c r="O451" s="265"/>
      <c r="P451" s="265"/>
      <c r="Q451" s="266"/>
      <c r="R451" s="243"/>
    </row>
    <row r="452" spans="3:18" customFormat="1" x14ac:dyDescent="0.25">
      <c r="C452" s="243"/>
      <c r="D452" s="45"/>
      <c r="E452" s="45"/>
      <c r="F452" s="45"/>
      <c r="G452" s="45"/>
      <c r="H452" s="45"/>
      <c r="I452" s="265"/>
      <c r="J452" s="265"/>
      <c r="K452" s="45"/>
      <c r="L452" s="243"/>
      <c r="M452" s="243"/>
      <c r="N452" s="265"/>
      <c r="O452" s="265"/>
      <c r="P452" s="265"/>
      <c r="Q452" s="266"/>
      <c r="R452" s="243"/>
    </row>
    <row r="453" spans="3:18" customFormat="1" x14ac:dyDescent="0.25">
      <c r="C453" s="243"/>
      <c r="D453" s="45"/>
      <c r="E453" s="45"/>
      <c r="F453" s="45"/>
      <c r="G453" s="45"/>
      <c r="H453" s="45"/>
      <c r="I453" s="265"/>
      <c r="J453" s="265"/>
      <c r="K453" s="45"/>
      <c r="L453" s="243"/>
      <c r="M453" s="243"/>
      <c r="N453" s="265"/>
      <c r="O453" s="265"/>
      <c r="P453" s="265"/>
      <c r="Q453" s="266"/>
      <c r="R453" s="243"/>
    </row>
    <row r="454" spans="3:18" customFormat="1" x14ac:dyDescent="0.25">
      <c r="C454" s="243"/>
      <c r="D454" s="45"/>
      <c r="E454" s="45"/>
      <c r="F454" s="45"/>
      <c r="G454" s="45"/>
      <c r="H454" s="45"/>
      <c r="I454" s="265"/>
      <c r="J454" s="265"/>
      <c r="K454" s="45"/>
      <c r="L454" s="243"/>
      <c r="M454" s="243"/>
      <c r="N454" s="265"/>
      <c r="O454" s="265"/>
      <c r="P454" s="265"/>
      <c r="Q454" s="266"/>
      <c r="R454" s="243"/>
    </row>
    <row r="455" spans="3:18" customFormat="1" x14ac:dyDescent="0.25">
      <c r="C455" s="243"/>
      <c r="D455" s="45"/>
      <c r="E455" s="45"/>
      <c r="F455" s="45"/>
      <c r="G455" s="45"/>
      <c r="H455" s="45"/>
      <c r="I455" s="265"/>
      <c r="J455" s="265"/>
      <c r="K455" s="45"/>
      <c r="L455" s="243"/>
      <c r="M455" s="243"/>
      <c r="N455" s="265"/>
      <c r="O455" s="265"/>
      <c r="P455" s="265"/>
      <c r="Q455" s="266"/>
      <c r="R455" s="243"/>
    </row>
    <row r="456" spans="3:18" customFormat="1" x14ac:dyDescent="0.25">
      <c r="C456" s="243"/>
      <c r="D456" s="45"/>
      <c r="E456" s="45"/>
      <c r="F456" s="45"/>
      <c r="G456" s="45"/>
      <c r="H456" s="45"/>
      <c r="I456" s="265"/>
      <c r="J456" s="265"/>
      <c r="K456" s="45"/>
      <c r="L456" s="243"/>
      <c r="M456" s="243"/>
      <c r="N456" s="265"/>
      <c r="O456" s="265"/>
      <c r="P456" s="265"/>
      <c r="Q456" s="266"/>
      <c r="R456" s="243"/>
    </row>
    <row r="457" spans="3:18" customFormat="1" x14ac:dyDescent="0.25">
      <c r="C457" s="243"/>
      <c r="D457" s="45"/>
      <c r="E457" s="45"/>
      <c r="F457" s="45"/>
      <c r="G457" s="45"/>
      <c r="H457" s="45"/>
      <c r="I457" s="265"/>
      <c r="J457" s="265"/>
      <c r="K457" s="45"/>
      <c r="L457" s="243"/>
      <c r="M457" s="243"/>
      <c r="N457" s="265"/>
      <c r="O457" s="265"/>
      <c r="P457" s="265"/>
      <c r="Q457" s="266"/>
      <c r="R457" s="243"/>
    </row>
    <row r="458" spans="3:18" customFormat="1" x14ac:dyDescent="0.25">
      <c r="C458" s="243"/>
      <c r="D458" s="45"/>
      <c r="E458" s="45"/>
      <c r="F458" s="45"/>
      <c r="G458" s="45"/>
      <c r="H458" s="45"/>
      <c r="I458" s="265"/>
      <c r="J458" s="265"/>
      <c r="K458" s="45"/>
      <c r="L458" s="243"/>
      <c r="M458" s="243"/>
      <c r="N458" s="265"/>
      <c r="O458" s="265"/>
      <c r="P458" s="265"/>
      <c r="Q458" s="266"/>
      <c r="R458" s="243"/>
    </row>
    <row r="459" spans="3:18" customFormat="1" x14ac:dyDescent="0.25">
      <c r="C459" s="243"/>
      <c r="D459" s="45"/>
      <c r="E459" s="45"/>
      <c r="F459" s="45"/>
      <c r="G459" s="45"/>
      <c r="H459" s="45"/>
      <c r="I459" s="265"/>
      <c r="J459" s="265"/>
      <c r="K459" s="45"/>
      <c r="L459" s="243"/>
      <c r="M459" s="243"/>
      <c r="N459" s="265"/>
      <c r="O459" s="265"/>
      <c r="P459" s="265"/>
      <c r="Q459" s="266"/>
      <c r="R459" s="243"/>
    </row>
    <row r="460" spans="3:18" customFormat="1" x14ac:dyDescent="0.25">
      <c r="C460" s="243"/>
      <c r="D460" s="45"/>
      <c r="E460" s="45"/>
      <c r="F460" s="45"/>
      <c r="G460" s="45"/>
      <c r="H460" s="45"/>
      <c r="I460" s="265"/>
      <c r="J460" s="265"/>
      <c r="K460" s="45"/>
      <c r="L460" s="243"/>
      <c r="M460" s="243"/>
      <c r="N460" s="265"/>
      <c r="O460" s="265"/>
      <c r="P460" s="265"/>
      <c r="Q460" s="266"/>
      <c r="R460" s="243"/>
    </row>
    <row r="461" spans="3:18" customFormat="1" x14ac:dyDescent="0.25">
      <c r="C461" s="243"/>
      <c r="D461" s="45"/>
      <c r="E461" s="45"/>
      <c r="F461" s="45"/>
      <c r="G461" s="45"/>
      <c r="H461" s="45"/>
      <c r="I461" s="265"/>
      <c r="J461" s="265"/>
      <c r="K461" s="45"/>
      <c r="L461" s="243"/>
      <c r="M461" s="243"/>
      <c r="N461" s="265"/>
      <c r="O461" s="265"/>
      <c r="P461" s="265"/>
      <c r="Q461" s="266"/>
      <c r="R461" s="243"/>
    </row>
    <row r="462" spans="3:18" customFormat="1" x14ac:dyDescent="0.25">
      <c r="C462" s="243"/>
      <c r="D462" s="45"/>
      <c r="E462" s="45"/>
      <c r="F462" s="45"/>
      <c r="G462" s="45"/>
      <c r="H462" s="45"/>
      <c r="I462" s="265"/>
      <c r="J462" s="265"/>
      <c r="K462" s="45"/>
      <c r="L462" s="243"/>
      <c r="M462" s="243"/>
      <c r="N462" s="265"/>
      <c r="O462" s="265"/>
      <c r="P462" s="265"/>
      <c r="Q462" s="266"/>
      <c r="R462" s="243"/>
    </row>
    <row r="463" spans="3:18" customFormat="1" x14ac:dyDescent="0.25">
      <c r="C463" s="243"/>
      <c r="D463" s="45"/>
      <c r="E463" s="45"/>
      <c r="F463" s="45"/>
      <c r="G463" s="45"/>
      <c r="H463" s="45"/>
      <c r="I463" s="265"/>
      <c r="J463" s="265"/>
      <c r="K463" s="45"/>
      <c r="L463" s="243"/>
      <c r="M463" s="243"/>
      <c r="N463" s="265"/>
      <c r="O463" s="265"/>
      <c r="P463" s="265"/>
      <c r="Q463" s="266"/>
      <c r="R463" s="243"/>
    </row>
    <row r="464" spans="3:18" customFormat="1" x14ac:dyDescent="0.25">
      <c r="C464" s="243"/>
      <c r="D464" s="45"/>
      <c r="E464" s="45"/>
      <c r="F464" s="45"/>
      <c r="G464" s="45"/>
      <c r="H464" s="45"/>
      <c r="I464" s="265"/>
      <c r="J464" s="265"/>
      <c r="K464" s="45"/>
      <c r="L464" s="243"/>
      <c r="M464" s="243"/>
      <c r="N464" s="265"/>
      <c r="O464" s="265"/>
      <c r="P464" s="265"/>
      <c r="Q464" s="266"/>
      <c r="R464" s="243"/>
    </row>
    <row r="465" spans="3:18" customFormat="1" x14ac:dyDescent="0.25">
      <c r="C465" s="243"/>
      <c r="D465" s="45"/>
      <c r="E465" s="45"/>
      <c r="F465" s="45"/>
      <c r="G465" s="45"/>
      <c r="H465" s="45"/>
      <c r="I465" s="265"/>
      <c r="J465" s="265"/>
      <c r="K465" s="45"/>
      <c r="L465" s="243"/>
      <c r="M465" s="243"/>
      <c r="N465" s="265"/>
      <c r="O465" s="265"/>
      <c r="P465" s="265"/>
      <c r="Q465" s="266"/>
      <c r="R465" s="243"/>
    </row>
    <row r="466" spans="3:18" customFormat="1" x14ac:dyDescent="0.25">
      <c r="C466" s="243"/>
      <c r="D466" s="45"/>
      <c r="E466" s="45"/>
      <c r="F466" s="45"/>
      <c r="G466" s="45"/>
      <c r="H466" s="45"/>
      <c r="I466" s="265"/>
      <c r="J466" s="265"/>
      <c r="K466" s="45"/>
      <c r="L466" s="243"/>
      <c r="M466" s="243"/>
      <c r="N466" s="265"/>
      <c r="O466" s="265"/>
      <c r="P466" s="265"/>
      <c r="Q466" s="266"/>
      <c r="R466" s="243"/>
    </row>
    <row r="467" spans="3:18" customFormat="1" x14ac:dyDescent="0.25">
      <c r="C467" s="243"/>
      <c r="D467" s="45"/>
      <c r="E467" s="45"/>
      <c r="F467" s="45"/>
      <c r="G467" s="45"/>
      <c r="H467" s="45"/>
      <c r="I467" s="265"/>
      <c r="J467" s="265"/>
      <c r="K467" s="45"/>
      <c r="L467" s="243"/>
      <c r="M467" s="243"/>
      <c r="N467" s="265"/>
      <c r="O467" s="265"/>
      <c r="P467" s="265"/>
      <c r="Q467" s="266"/>
      <c r="R467" s="243"/>
    </row>
    <row r="468" spans="3:18" customFormat="1" x14ac:dyDescent="0.25">
      <c r="C468" s="243"/>
      <c r="D468" s="45"/>
      <c r="E468" s="45"/>
      <c r="F468" s="45"/>
      <c r="G468" s="45"/>
      <c r="H468" s="45"/>
      <c r="I468" s="265"/>
      <c r="J468" s="265"/>
      <c r="K468" s="45"/>
      <c r="L468" s="243"/>
      <c r="M468" s="243"/>
      <c r="N468" s="265"/>
      <c r="O468" s="265"/>
      <c r="P468" s="265"/>
      <c r="Q468" s="266"/>
      <c r="R468" s="243"/>
    </row>
    <row r="469" spans="3:18" customFormat="1" x14ac:dyDescent="0.25">
      <c r="C469" s="243"/>
      <c r="D469" s="45"/>
      <c r="E469" s="45"/>
      <c r="F469" s="45"/>
      <c r="G469" s="45"/>
      <c r="H469" s="45"/>
      <c r="I469" s="265"/>
      <c r="J469" s="265"/>
      <c r="K469" s="45"/>
      <c r="L469" s="243"/>
      <c r="M469" s="243"/>
      <c r="N469" s="265"/>
      <c r="O469" s="265"/>
      <c r="P469" s="265"/>
      <c r="Q469" s="266"/>
      <c r="R469" s="243"/>
    </row>
    <row r="470" spans="3:18" customFormat="1" x14ac:dyDescent="0.25">
      <c r="C470" s="243"/>
      <c r="D470" s="45"/>
      <c r="E470" s="45"/>
      <c r="F470" s="45"/>
      <c r="G470" s="45"/>
      <c r="H470" s="45"/>
      <c r="I470" s="265"/>
      <c r="J470" s="265"/>
      <c r="K470" s="45"/>
      <c r="L470" s="243"/>
      <c r="M470" s="243"/>
      <c r="N470" s="265"/>
      <c r="O470" s="265"/>
      <c r="P470" s="265"/>
      <c r="Q470" s="266"/>
      <c r="R470" s="243"/>
    </row>
    <row r="471" spans="3:18" customFormat="1" x14ac:dyDescent="0.25">
      <c r="C471" s="243"/>
      <c r="D471" s="45"/>
      <c r="E471" s="45"/>
      <c r="F471" s="45"/>
      <c r="G471" s="45"/>
      <c r="H471" s="45"/>
      <c r="I471" s="265"/>
      <c r="J471" s="265"/>
      <c r="K471" s="45"/>
      <c r="L471" s="243"/>
      <c r="M471" s="243"/>
      <c r="N471" s="265"/>
      <c r="O471" s="265"/>
      <c r="P471" s="265"/>
      <c r="Q471" s="266"/>
      <c r="R471" s="243"/>
    </row>
    <row r="472" spans="3:18" customFormat="1" x14ac:dyDescent="0.25">
      <c r="C472" s="243"/>
      <c r="D472" s="45"/>
      <c r="E472" s="45"/>
      <c r="F472" s="45"/>
      <c r="G472" s="45"/>
      <c r="H472" s="45"/>
      <c r="I472" s="265"/>
      <c r="J472" s="265"/>
      <c r="K472" s="45"/>
      <c r="L472" s="243"/>
      <c r="M472" s="243"/>
      <c r="N472" s="265"/>
      <c r="O472" s="265"/>
      <c r="P472" s="265"/>
      <c r="Q472" s="266"/>
      <c r="R472" s="243"/>
    </row>
    <row r="473" spans="3:18" customFormat="1" x14ac:dyDescent="0.25">
      <c r="C473" s="243"/>
      <c r="D473" s="45"/>
      <c r="E473" s="45"/>
      <c r="F473" s="45"/>
      <c r="G473" s="45"/>
      <c r="H473" s="45"/>
      <c r="I473" s="265"/>
      <c r="J473" s="265"/>
      <c r="K473" s="45"/>
      <c r="L473" s="243"/>
      <c r="M473" s="243"/>
      <c r="N473" s="265"/>
      <c r="O473" s="265"/>
      <c r="P473" s="265"/>
      <c r="Q473" s="266"/>
      <c r="R473" s="243"/>
    </row>
    <row r="474" spans="3:18" customFormat="1" x14ac:dyDescent="0.25">
      <c r="C474" s="243"/>
      <c r="D474" s="45"/>
      <c r="E474" s="45"/>
      <c r="F474" s="45"/>
      <c r="G474" s="45"/>
      <c r="H474" s="45"/>
      <c r="I474" s="265"/>
      <c r="J474" s="265"/>
      <c r="K474" s="45"/>
      <c r="L474" s="243"/>
      <c r="M474" s="243"/>
      <c r="N474" s="265"/>
      <c r="O474" s="265"/>
      <c r="P474" s="265"/>
      <c r="Q474" s="266"/>
      <c r="R474" s="243"/>
    </row>
    <row r="475" spans="3:18" customFormat="1" x14ac:dyDescent="0.25">
      <c r="C475" s="243"/>
      <c r="D475" s="45"/>
      <c r="E475" s="45"/>
      <c r="F475" s="45"/>
      <c r="G475" s="45"/>
      <c r="H475" s="45"/>
      <c r="I475" s="265"/>
      <c r="J475" s="265"/>
      <c r="K475" s="45"/>
      <c r="L475" s="243"/>
      <c r="M475" s="243"/>
      <c r="N475" s="265"/>
      <c r="O475" s="265"/>
      <c r="P475" s="265"/>
      <c r="Q475" s="266"/>
      <c r="R475" s="243"/>
    </row>
    <row r="476" spans="3:18" customFormat="1" x14ac:dyDescent="0.25">
      <c r="C476" s="243"/>
      <c r="D476" s="45"/>
      <c r="E476" s="45"/>
      <c r="F476" s="45"/>
      <c r="G476" s="45"/>
      <c r="H476" s="45"/>
      <c r="I476" s="265"/>
      <c r="J476" s="265"/>
      <c r="K476" s="45"/>
      <c r="L476" s="243"/>
      <c r="M476" s="243"/>
      <c r="N476" s="265"/>
      <c r="O476" s="265"/>
      <c r="P476" s="265"/>
      <c r="Q476" s="266"/>
      <c r="R476" s="243"/>
    </row>
    <row r="477" spans="3:18" customFormat="1" x14ac:dyDescent="0.25">
      <c r="C477" s="243"/>
      <c r="D477" s="45"/>
      <c r="E477" s="45"/>
      <c r="F477" s="45"/>
      <c r="G477" s="45"/>
      <c r="H477" s="45"/>
      <c r="I477" s="265"/>
      <c r="J477" s="265"/>
      <c r="K477" s="45"/>
      <c r="L477" s="243"/>
      <c r="M477" s="243"/>
      <c r="N477" s="265"/>
      <c r="O477" s="265"/>
      <c r="P477" s="265"/>
      <c r="Q477" s="266"/>
      <c r="R477" s="243"/>
    </row>
    <row r="478" spans="3:18" customFormat="1" x14ac:dyDescent="0.25">
      <c r="C478" s="243"/>
      <c r="D478" s="45"/>
      <c r="E478" s="45"/>
      <c r="F478" s="45"/>
      <c r="G478" s="45"/>
      <c r="H478" s="45"/>
      <c r="I478" s="265"/>
      <c r="J478" s="265"/>
      <c r="K478" s="45"/>
      <c r="L478" s="243"/>
      <c r="M478" s="243"/>
      <c r="N478" s="265"/>
      <c r="O478" s="265"/>
      <c r="P478" s="265"/>
      <c r="Q478" s="266"/>
      <c r="R478" s="243"/>
    </row>
    <row r="479" spans="3:18" customFormat="1" x14ac:dyDescent="0.25">
      <c r="C479" s="243"/>
      <c r="D479" s="45"/>
      <c r="E479" s="45"/>
      <c r="F479" s="45"/>
      <c r="G479" s="45"/>
      <c r="H479" s="45"/>
      <c r="I479" s="265"/>
      <c r="J479" s="265"/>
      <c r="K479" s="45"/>
      <c r="L479" s="243"/>
      <c r="M479" s="243"/>
      <c r="N479" s="265"/>
      <c r="O479" s="265"/>
      <c r="P479" s="265"/>
      <c r="Q479" s="266"/>
      <c r="R479" s="243"/>
    </row>
    <row r="480" spans="3:18" customFormat="1" x14ac:dyDescent="0.25">
      <c r="C480" s="243"/>
      <c r="D480" s="45"/>
      <c r="E480" s="45"/>
      <c r="F480" s="45"/>
      <c r="G480" s="45"/>
      <c r="H480" s="45"/>
      <c r="I480" s="265"/>
      <c r="J480" s="265"/>
      <c r="K480" s="45"/>
      <c r="L480" s="243"/>
      <c r="M480" s="243"/>
      <c r="N480" s="265"/>
      <c r="O480" s="265"/>
      <c r="P480" s="265"/>
      <c r="Q480" s="266"/>
      <c r="R480" s="243"/>
    </row>
    <row r="481" spans="3:18" customFormat="1" x14ac:dyDescent="0.25">
      <c r="C481" s="243"/>
      <c r="D481" s="45"/>
      <c r="E481" s="45"/>
      <c r="F481" s="45"/>
      <c r="G481" s="45"/>
      <c r="H481" s="45"/>
      <c r="I481" s="265"/>
      <c r="J481" s="265"/>
      <c r="K481" s="45"/>
      <c r="L481" s="243"/>
      <c r="M481" s="243"/>
      <c r="N481" s="265"/>
      <c r="O481" s="265"/>
      <c r="P481" s="265"/>
      <c r="Q481" s="266"/>
      <c r="R481" s="243"/>
    </row>
    <row r="482" spans="3:18" customFormat="1" x14ac:dyDescent="0.25">
      <c r="C482" s="243"/>
      <c r="D482" s="45"/>
      <c r="E482" s="45"/>
      <c r="F482" s="45"/>
      <c r="G482" s="45"/>
      <c r="H482" s="45"/>
      <c r="I482" s="265"/>
      <c r="J482" s="265"/>
      <c r="K482" s="45"/>
      <c r="L482" s="243"/>
      <c r="M482" s="243"/>
      <c r="N482" s="265"/>
      <c r="O482" s="265"/>
      <c r="P482" s="265"/>
      <c r="Q482" s="266"/>
      <c r="R482" s="243"/>
    </row>
    <row r="483" spans="3:18" customFormat="1" x14ac:dyDescent="0.25">
      <c r="C483" s="243"/>
      <c r="D483" s="45"/>
      <c r="E483" s="45"/>
      <c r="F483" s="45"/>
      <c r="G483" s="45"/>
      <c r="H483" s="45"/>
      <c r="I483" s="265"/>
      <c r="J483" s="265"/>
      <c r="K483" s="45"/>
      <c r="L483" s="243"/>
      <c r="M483" s="243"/>
      <c r="N483" s="265"/>
      <c r="O483" s="265"/>
      <c r="P483" s="265"/>
      <c r="Q483" s="266"/>
      <c r="R483" s="243"/>
    </row>
    <row r="484" spans="3:18" customFormat="1" x14ac:dyDescent="0.25">
      <c r="C484" s="243"/>
      <c r="D484" s="45"/>
      <c r="E484" s="45"/>
      <c r="F484" s="45"/>
      <c r="G484" s="45"/>
      <c r="H484" s="45"/>
      <c r="I484" s="265"/>
      <c r="J484" s="265"/>
      <c r="K484" s="45"/>
      <c r="L484" s="243"/>
      <c r="M484" s="243"/>
      <c r="N484" s="265"/>
      <c r="O484" s="265"/>
      <c r="P484" s="265"/>
      <c r="Q484" s="266"/>
      <c r="R484" s="243"/>
    </row>
    <row r="485" spans="3:18" customFormat="1" x14ac:dyDescent="0.25">
      <c r="C485" s="243"/>
      <c r="D485" s="45"/>
      <c r="E485" s="45"/>
      <c r="F485" s="45"/>
      <c r="G485" s="45"/>
      <c r="H485" s="45"/>
      <c r="I485" s="265"/>
      <c r="J485" s="265"/>
      <c r="K485" s="45"/>
      <c r="L485" s="243"/>
      <c r="M485" s="243"/>
      <c r="N485" s="265"/>
      <c r="O485" s="265"/>
      <c r="P485" s="265"/>
      <c r="Q485" s="266"/>
      <c r="R485" s="243"/>
    </row>
    <row r="486" spans="3:18" customFormat="1" x14ac:dyDescent="0.25">
      <c r="C486" s="243"/>
      <c r="D486" s="45"/>
      <c r="E486" s="45"/>
      <c r="F486" s="45"/>
      <c r="G486" s="45"/>
      <c r="H486" s="45"/>
      <c r="I486" s="265"/>
      <c r="J486" s="265"/>
      <c r="K486" s="45"/>
      <c r="L486" s="243"/>
      <c r="M486" s="243"/>
      <c r="N486" s="265"/>
      <c r="O486" s="265"/>
      <c r="P486" s="265"/>
      <c r="Q486" s="266"/>
      <c r="R486" s="243"/>
    </row>
    <row r="487" spans="3:18" customFormat="1" x14ac:dyDescent="0.25">
      <c r="C487" s="243"/>
      <c r="D487" s="45"/>
      <c r="E487" s="45"/>
      <c r="F487" s="45"/>
      <c r="G487" s="45"/>
      <c r="H487" s="45"/>
      <c r="I487" s="265"/>
      <c r="J487" s="265"/>
      <c r="K487" s="45"/>
      <c r="L487" s="243"/>
      <c r="M487" s="243"/>
      <c r="N487" s="265"/>
      <c r="O487" s="265"/>
      <c r="P487" s="265"/>
      <c r="Q487" s="266"/>
      <c r="R487" s="243"/>
    </row>
    <row r="488" spans="3:18" customFormat="1" x14ac:dyDescent="0.25">
      <c r="C488" s="243"/>
      <c r="D488" s="45"/>
      <c r="E488" s="45"/>
      <c r="F488" s="45"/>
      <c r="G488" s="45"/>
      <c r="H488" s="45"/>
      <c r="I488" s="265"/>
      <c r="J488" s="265"/>
      <c r="K488" s="45"/>
      <c r="L488" s="243"/>
      <c r="M488" s="243"/>
      <c r="N488" s="265"/>
      <c r="O488" s="265"/>
      <c r="P488" s="265"/>
      <c r="Q488" s="266"/>
      <c r="R488" s="243"/>
    </row>
    <row r="489" spans="3:18" customFormat="1" x14ac:dyDescent="0.25">
      <c r="C489" s="243"/>
      <c r="D489" s="45"/>
      <c r="E489" s="45"/>
      <c r="F489" s="45"/>
      <c r="G489" s="45"/>
      <c r="H489" s="45"/>
      <c r="I489" s="265"/>
      <c r="J489" s="265"/>
      <c r="K489" s="45"/>
      <c r="L489" s="243"/>
      <c r="M489" s="243"/>
      <c r="N489" s="265"/>
      <c r="O489" s="265"/>
      <c r="P489" s="265"/>
      <c r="Q489" s="266"/>
      <c r="R489" s="243"/>
    </row>
    <row r="490" spans="3:18" customFormat="1" x14ac:dyDescent="0.25">
      <c r="C490" s="243"/>
      <c r="D490" s="45"/>
      <c r="E490" s="45"/>
      <c r="F490" s="45"/>
      <c r="G490" s="45"/>
      <c r="H490" s="45"/>
      <c r="I490" s="265"/>
      <c r="J490" s="265"/>
      <c r="K490" s="45"/>
      <c r="L490" s="243"/>
      <c r="M490" s="243"/>
      <c r="N490" s="265"/>
      <c r="O490" s="265"/>
      <c r="P490" s="265"/>
      <c r="Q490" s="266"/>
      <c r="R490" s="243"/>
    </row>
    <row r="491" spans="3:18" customFormat="1" x14ac:dyDescent="0.25">
      <c r="C491" s="243"/>
      <c r="D491" s="45"/>
      <c r="E491" s="45"/>
      <c r="F491" s="45"/>
      <c r="G491" s="45"/>
      <c r="H491" s="45"/>
      <c r="I491" s="265"/>
      <c r="J491" s="265"/>
      <c r="K491" s="45"/>
      <c r="L491" s="243"/>
      <c r="M491" s="243"/>
      <c r="N491" s="265"/>
      <c r="O491" s="265"/>
      <c r="P491" s="265"/>
      <c r="Q491" s="266"/>
      <c r="R491" s="243"/>
    </row>
    <row r="492" spans="3:18" customFormat="1" x14ac:dyDescent="0.25">
      <c r="C492" s="243"/>
      <c r="D492" s="45"/>
      <c r="E492" s="45"/>
      <c r="F492" s="45"/>
      <c r="G492" s="45"/>
      <c r="H492" s="45"/>
      <c r="I492" s="265"/>
      <c r="J492" s="265"/>
      <c r="K492" s="45"/>
      <c r="L492" s="243"/>
      <c r="M492" s="243"/>
      <c r="N492" s="265"/>
      <c r="O492" s="265"/>
      <c r="P492" s="265"/>
      <c r="Q492" s="266"/>
      <c r="R492" s="243"/>
    </row>
    <row r="493" spans="3:18" customFormat="1" x14ac:dyDescent="0.25">
      <c r="C493" s="243"/>
      <c r="D493" s="45"/>
      <c r="E493" s="45"/>
      <c r="F493" s="45"/>
      <c r="G493" s="45"/>
      <c r="H493" s="45"/>
      <c r="I493" s="265"/>
      <c r="J493" s="265"/>
      <c r="K493" s="45"/>
      <c r="L493" s="243"/>
      <c r="M493" s="243"/>
      <c r="N493" s="265"/>
      <c r="O493" s="265"/>
      <c r="P493" s="265"/>
      <c r="Q493" s="266"/>
      <c r="R493" s="243"/>
    </row>
    <row r="494" spans="3:18" customFormat="1" x14ac:dyDescent="0.25">
      <c r="C494" s="243"/>
      <c r="D494" s="45"/>
      <c r="E494" s="45"/>
      <c r="F494" s="45"/>
      <c r="G494" s="45"/>
      <c r="H494" s="45"/>
      <c r="I494" s="265"/>
      <c r="J494" s="265"/>
      <c r="K494" s="45"/>
      <c r="L494" s="243"/>
      <c r="M494" s="243"/>
      <c r="N494" s="265"/>
      <c r="O494" s="265"/>
      <c r="P494" s="265"/>
      <c r="Q494" s="266"/>
      <c r="R494" s="243"/>
    </row>
    <row r="495" spans="3:18" customFormat="1" x14ac:dyDescent="0.25">
      <c r="C495" s="243"/>
      <c r="D495" s="45"/>
      <c r="E495" s="45"/>
      <c r="F495" s="45"/>
      <c r="G495" s="45"/>
      <c r="H495" s="45"/>
      <c r="I495" s="265"/>
      <c r="J495" s="265"/>
      <c r="K495" s="45"/>
      <c r="L495" s="243"/>
      <c r="M495" s="243"/>
      <c r="N495" s="265"/>
      <c r="O495" s="265"/>
      <c r="P495" s="265"/>
      <c r="Q495" s="266"/>
      <c r="R495" s="243"/>
    </row>
    <row r="496" spans="3:18" customFormat="1" x14ac:dyDescent="0.25">
      <c r="C496" s="243"/>
      <c r="D496" s="45"/>
      <c r="E496" s="45"/>
      <c r="F496" s="45"/>
      <c r="G496" s="45"/>
      <c r="H496" s="45"/>
      <c r="I496" s="265"/>
      <c r="J496" s="265"/>
      <c r="K496" s="45"/>
      <c r="L496" s="243"/>
      <c r="M496" s="243"/>
      <c r="N496" s="265"/>
      <c r="O496" s="265"/>
      <c r="P496" s="265"/>
      <c r="Q496" s="266"/>
      <c r="R496" s="243"/>
    </row>
    <row r="497" spans="3:18" customFormat="1" x14ac:dyDescent="0.25">
      <c r="C497" s="243"/>
      <c r="D497" s="45"/>
      <c r="E497" s="45"/>
      <c r="F497" s="45"/>
      <c r="G497" s="45"/>
      <c r="H497" s="45"/>
      <c r="I497" s="265"/>
      <c r="J497" s="265"/>
      <c r="K497" s="45"/>
      <c r="L497" s="243"/>
      <c r="M497" s="243"/>
      <c r="N497" s="265"/>
      <c r="O497" s="265"/>
      <c r="P497" s="265"/>
      <c r="Q497" s="266"/>
      <c r="R497" s="243"/>
    </row>
    <row r="498" spans="3:18" customFormat="1" x14ac:dyDescent="0.25">
      <c r="C498" s="243"/>
      <c r="D498" s="45"/>
      <c r="E498" s="45"/>
      <c r="F498" s="45"/>
      <c r="G498" s="45"/>
      <c r="H498" s="45"/>
      <c r="I498" s="265"/>
      <c r="J498" s="265"/>
      <c r="K498" s="45"/>
      <c r="L498" s="243"/>
      <c r="M498" s="243"/>
      <c r="N498" s="265"/>
      <c r="O498" s="265"/>
      <c r="P498" s="265"/>
      <c r="Q498" s="266"/>
      <c r="R498" s="243"/>
    </row>
    <row r="499" spans="3:18" customFormat="1" x14ac:dyDescent="0.25">
      <c r="C499" s="243"/>
      <c r="D499" s="45"/>
      <c r="E499" s="45"/>
      <c r="F499" s="45"/>
      <c r="G499" s="45"/>
      <c r="H499" s="45"/>
      <c r="I499" s="265"/>
      <c r="J499" s="265"/>
      <c r="K499" s="45"/>
      <c r="L499" s="243"/>
      <c r="M499" s="243"/>
      <c r="N499" s="265"/>
      <c r="O499" s="265"/>
      <c r="P499" s="265"/>
      <c r="Q499" s="266"/>
      <c r="R499" s="243"/>
    </row>
    <row r="500" spans="3:18" customFormat="1" x14ac:dyDescent="0.25">
      <c r="C500" s="243"/>
      <c r="D500" s="45"/>
      <c r="E500" s="45"/>
      <c r="F500" s="45"/>
      <c r="G500" s="45"/>
      <c r="H500" s="45"/>
      <c r="I500" s="265"/>
      <c r="J500" s="265"/>
      <c r="K500" s="45"/>
      <c r="L500" s="243"/>
      <c r="M500" s="243"/>
      <c r="N500" s="265"/>
      <c r="O500" s="265"/>
      <c r="P500" s="265"/>
      <c r="Q500" s="266"/>
      <c r="R500" s="243"/>
    </row>
    <row r="501" spans="3:18" customFormat="1" x14ac:dyDescent="0.25">
      <c r="C501" s="243"/>
      <c r="D501" s="45"/>
      <c r="E501" s="45"/>
      <c r="F501" s="45"/>
      <c r="G501" s="45"/>
      <c r="H501" s="45"/>
      <c r="I501" s="265"/>
      <c r="J501" s="265"/>
      <c r="K501" s="45"/>
      <c r="L501" s="243"/>
      <c r="M501" s="243"/>
      <c r="N501" s="265"/>
      <c r="O501" s="265"/>
      <c r="P501" s="265"/>
      <c r="Q501" s="266"/>
      <c r="R501" s="243"/>
    </row>
    <row r="502" spans="3:18" customFormat="1" x14ac:dyDescent="0.25">
      <c r="C502" s="243"/>
      <c r="D502" s="45"/>
      <c r="E502" s="45"/>
      <c r="F502" s="45"/>
      <c r="G502" s="45"/>
      <c r="H502" s="45"/>
      <c r="I502" s="265"/>
      <c r="J502" s="265"/>
      <c r="K502" s="45"/>
      <c r="L502" s="243"/>
      <c r="M502" s="243"/>
      <c r="N502" s="265"/>
      <c r="O502" s="265"/>
      <c r="P502" s="265"/>
      <c r="Q502" s="266"/>
      <c r="R502" s="243"/>
    </row>
    <row r="503" spans="3:18" customFormat="1" x14ac:dyDescent="0.25">
      <c r="C503" s="243"/>
      <c r="D503" s="45"/>
      <c r="E503" s="45"/>
      <c r="F503" s="45"/>
      <c r="G503" s="45"/>
      <c r="H503" s="45"/>
      <c r="I503" s="265"/>
      <c r="J503" s="265"/>
      <c r="K503" s="45"/>
      <c r="L503" s="243"/>
      <c r="M503" s="243"/>
      <c r="N503" s="265"/>
      <c r="O503" s="265"/>
      <c r="P503" s="265"/>
      <c r="Q503" s="266"/>
      <c r="R503" s="243"/>
    </row>
    <row r="504" spans="3:18" customFormat="1" x14ac:dyDescent="0.25">
      <c r="C504" s="243"/>
      <c r="D504" s="45"/>
      <c r="E504" s="45"/>
      <c r="F504" s="45"/>
      <c r="G504" s="45"/>
      <c r="H504" s="45"/>
      <c r="I504" s="265"/>
      <c r="J504" s="265"/>
      <c r="K504" s="45"/>
      <c r="L504" s="243"/>
      <c r="M504" s="243"/>
      <c r="N504" s="265"/>
      <c r="O504" s="265"/>
      <c r="P504" s="265"/>
      <c r="Q504" s="266"/>
      <c r="R504" s="243"/>
    </row>
    <row r="505" spans="3:18" customFormat="1" x14ac:dyDescent="0.25">
      <c r="C505" s="243"/>
      <c r="D505" s="45"/>
      <c r="E505" s="45"/>
      <c r="F505" s="45"/>
      <c r="G505" s="45"/>
      <c r="H505" s="45"/>
      <c r="I505" s="265"/>
      <c r="J505" s="265"/>
      <c r="K505" s="45"/>
      <c r="L505" s="243"/>
      <c r="M505" s="243"/>
      <c r="N505" s="265"/>
      <c r="O505" s="265"/>
      <c r="P505" s="265"/>
      <c r="Q505" s="266"/>
      <c r="R505" s="243"/>
    </row>
    <row r="506" spans="3:18" customFormat="1" x14ac:dyDescent="0.25">
      <c r="C506" s="243"/>
      <c r="D506" s="45"/>
      <c r="E506" s="45"/>
      <c r="F506" s="45"/>
      <c r="G506" s="45"/>
      <c r="H506" s="45"/>
      <c r="I506" s="265"/>
      <c r="J506" s="265"/>
      <c r="K506" s="45"/>
      <c r="L506" s="243"/>
      <c r="M506" s="243"/>
      <c r="N506" s="265"/>
      <c r="O506" s="265"/>
      <c r="P506" s="265"/>
      <c r="Q506" s="266"/>
      <c r="R506" s="243"/>
    </row>
    <row r="507" spans="3:18" customFormat="1" x14ac:dyDescent="0.25">
      <c r="C507" s="243"/>
      <c r="D507" s="45"/>
      <c r="E507" s="45"/>
      <c r="F507" s="45"/>
      <c r="G507" s="45"/>
      <c r="H507" s="45"/>
      <c r="I507" s="265"/>
      <c r="J507" s="265"/>
      <c r="K507" s="45"/>
      <c r="L507" s="243"/>
      <c r="M507" s="243"/>
      <c r="N507" s="265"/>
      <c r="O507" s="265"/>
      <c r="P507" s="265"/>
      <c r="Q507" s="266"/>
      <c r="R507" s="243"/>
    </row>
    <row r="508" spans="3:18" customFormat="1" x14ac:dyDescent="0.25">
      <c r="C508" s="243"/>
      <c r="D508" s="45"/>
      <c r="E508" s="45"/>
      <c r="F508" s="45"/>
      <c r="G508" s="45"/>
      <c r="H508" s="45"/>
      <c r="I508" s="265"/>
      <c r="J508" s="265"/>
      <c r="K508" s="45"/>
      <c r="L508" s="243"/>
      <c r="M508" s="243"/>
      <c r="N508" s="265"/>
      <c r="O508" s="265"/>
      <c r="P508" s="265"/>
      <c r="Q508" s="266"/>
      <c r="R508" s="243"/>
    </row>
    <row r="509" spans="3:18" customFormat="1" x14ac:dyDescent="0.25">
      <c r="C509" s="243"/>
      <c r="D509" s="45"/>
      <c r="E509" s="45"/>
      <c r="F509" s="45"/>
      <c r="G509" s="45"/>
      <c r="H509" s="45"/>
      <c r="I509" s="265"/>
      <c r="J509" s="265"/>
      <c r="K509" s="45"/>
      <c r="L509" s="243"/>
      <c r="M509" s="243"/>
      <c r="N509" s="265"/>
      <c r="O509" s="265"/>
      <c r="P509" s="265"/>
      <c r="Q509" s="266"/>
      <c r="R509" s="243"/>
    </row>
    <row r="510" spans="3:18" customFormat="1" x14ac:dyDescent="0.25">
      <c r="C510" s="243"/>
      <c r="D510" s="45"/>
      <c r="E510" s="45"/>
      <c r="F510" s="45"/>
      <c r="G510" s="45"/>
      <c r="H510" s="45"/>
      <c r="I510" s="265"/>
      <c r="J510" s="265"/>
      <c r="K510" s="45"/>
      <c r="L510" s="243"/>
      <c r="M510" s="243"/>
      <c r="N510" s="265"/>
      <c r="O510" s="265"/>
      <c r="P510" s="265"/>
      <c r="Q510" s="266"/>
      <c r="R510" s="243"/>
    </row>
    <row r="511" spans="3:18" customFormat="1" x14ac:dyDescent="0.25">
      <c r="C511" s="243"/>
      <c r="D511" s="45"/>
      <c r="E511" s="45"/>
      <c r="F511" s="45"/>
      <c r="G511" s="45"/>
      <c r="H511" s="45"/>
      <c r="I511" s="265"/>
      <c r="J511" s="265"/>
      <c r="K511" s="45"/>
      <c r="L511" s="243"/>
      <c r="M511" s="243"/>
      <c r="N511" s="265"/>
      <c r="O511" s="265"/>
      <c r="P511" s="265"/>
      <c r="Q511" s="266"/>
      <c r="R511" s="243"/>
    </row>
    <row r="512" spans="3:18" customFormat="1" x14ac:dyDescent="0.25">
      <c r="C512" s="243"/>
      <c r="D512" s="45"/>
      <c r="E512" s="45"/>
      <c r="F512" s="45"/>
      <c r="G512" s="45"/>
      <c r="H512" s="45"/>
      <c r="I512" s="265"/>
      <c r="J512" s="265"/>
      <c r="K512" s="45"/>
      <c r="L512" s="243"/>
      <c r="M512" s="243"/>
      <c r="N512" s="265"/>
      <c r="O512" s="265"/>
      <c r="P512" s="265"/>
      <c r="Q512" s="266"/>
      <c r="R512" s="243"/>
    </row>
    <row r="513" spans="3:18" customFormat="1" x14ac:dyDescent="0.25">
      <c r="C513" s="243"/>
      <c r="D513" s="45"/>
      <c r="E513" s="45"/>
      <c r="F513" s="45"/>
      <c r="G513" s="45"/>
      <c r="H513" s="45"/>
      <c r="I513" s="265"/>
      <c r="J513" s="265"/>
      <c r="K513" s="45"/>
      <c r="L513" s="243"/>
      <c r="M513" s="243"/>
      <c r="N513" s="265"/>
      <c r="O513" s="265"/>
      <c r="P513" s="265"/>
      <c r="Q513" s="266"/>
      <c r="R513" s="243"/>
    </row>
    <row r="514" spans="3:18" customFormat="1" x14ac:dyDescent="0.25">
      <c r="C514" s="243"/>
      <c r="D514" s="45"/>
      <c r="E514" s="45"/>
      <c r="F514" s="45"/>
      <c r="G514" s="45"/>
      <c r="H514" s="45"/>
      <c r="I514" s="265"/>
      <c r="J514" s="265"/>
      <c r="K514" s="45"/>
      <c r="L514" s="243"/>
      <c r="M514" s="243"/>
      <c r="N514" s="265"/>
      <c r="O514" s="265"/>
      <c r="P514" s="265"/>
      <c r="Q514" s="266"/>
      <c r="R514" s="243"/>
    </row>
    <row r="515" spans="3:18" customFormat="1" x14ac:dyDescent="0.25">
      <c r="C515" s="243"/>
      <c r="D515" s="45"/>
      <c r="E515" s="45"/>
      <c r="F515" s="45"/>
      <c r="G515" s="45"/>
      <c r="H515" s="45"/>
      <c r="I515" s="265"/>
      <c r="J515" s="265"/>
      <c r="K515" s="45"/>
      <c r="L515" s="243"/>
      <c r="M515" s="243"/>
      <c r="N515" s="265"/>
      <c r="O515" s="265"/>
      <c r="P515" s="265"/>
      <c r="Q515" s="266"/>
      <c r="R515" s="243"/>
    </row>
    <row r="516" spans="3:18" customFormat="1" x14ac:dyDescent="0.25">
      <c r="C516" s="243"/>
      <c r="D516" s="45"/>
      <c r="E516" s="45"/>
      <c r="F516" s="45"/>
      <c r="G516" s="45"/>
      <c r="H516" s="45"/>
      <c r="I516" s="265"/>
      <c r="J516" s="265"/>
      <c r="K516" s="45"/>
      <c r="L516" s="243"/>
      <c r="M516" s="243"/>
      <c r="N516" s="265"/>
      <c r="O516" s="265"/>
      <c r="P516" s="265"/>
      <c r="Q516" s="266"/>
      <c r="R516" s="243"/>
    </row>
    <row r="517" spans="3:18" customFormat="1" x14ac:dyDescent="0.25">
      <c r="C517" s="243"/>
      <c r="D517" s="45"/>
      <c r="E517" s="45"/>
      <c r="F517" s="45"/>
      <c r="G517" s="45"/>
      <c r="H517" s="45"/>
      <c r="I517" s="265"/>
      <c r="J517" s="265"/>
      <c r="K517" s="45"/>
      <c r="L517" s="243"/>
      <c r="M517" s="243"/>
      <c r="N517" s="265"/>
      <c r="O517" s="265"/>
      <c r="P517" s="265"/>
      <c r="Q517" s="266"/>
      <c r="R517" s="243"/>
    </row>
    <row r="518" spans="3:18" customFormat="1" x14ac:dyDescent="0.25">
      <c r="C518" s="243"/>
      <c r="D518" s="45"/>
      <c r="E518" s="45"/>
      <c r="F518" s="45"/>
      <c r="G518" s="45"/>
      <c r="H518" s="45"/>
      <c r="I518" s="265"/>
      <c r="J518" s="265"/>
      <c r="K518" s="45"/>
      <c r="L518" s="243"/>
      <c r="M518" s="243"/>
      <c r="N518" s="265"/>
      <c r="O518" s="265"/>
      <c r="P518" s="265"/>
      <c r="Q518" s="266"/>
      <c r="R518" s="243"/>
    </row>
    <row r="519" spans="3:18" customFormat="1" x14ac:dyDescent="0.25">
      <c r="C519" s="243"/>
      <c r="D519" s="45"/>
      <c r="E519" s="45"/>
      <c r="F519" s="45"/>
      <c r="G519" s="45"/>
      <c r="H519" s="45"/>
      <c r="I519" s="265"/>
      <c r="J519" s="265"/>
      <c r="K519" s="45"/>
      <c r="L519" s="243"/>
      <c r="M519" s="243"/>
      <c r="N519" s="265"/>
      <c r="O519" s="265"/>
      <c r="P519" s="265"/>
      <c r="Q519" s="266"/>
      <c r="R519" s="243"/>
    </row>
    <row r="520" spans="3:18" customFormat="1" x14ac:dyDescent="0.25">
      <c r="C520" s="243"/>
      <c r="D520" s="45"/>
      <c r="E520" s="45"/>
      <c r="F520" s="45"/>
      <c r="G520" s="45"/>
      <c r="H520" s="45"/>
      <c r="I520" s="265"/>
      <c r="J520" s="265"/>
      <c r="K520" s="45"/>
      <c r="L520" s="243"/>
      <c r="M520" s="243"/>
      <c r="N520" s="265"/>
      <c r="O520" s="265"/>
      <c r="P520" s="265"/>
      <c r="Q520" s="266"/>
      <c r="R520" s="243"/>
    </row>
    <row r="521" spans="3:18" customFormat="1" x14ac:dyDescent="0.25">
      <c r="C521" s="243"/>
      <c r="D521" s="45"/>
      <c r="E521" s="45"/>
      <c r="F521" s="45"/>
      <c r="G521" s="45"/>
      <c r="H521" s="45"/>
      <c r="I521" s="265"/>
      <c r="J521" s="265"/>
      <c r="K521" s="45"/>
      <c r="L521" s="243"/>
      <c r="M521" s="243"/>
      <c r="N521" s="265"/>
      <c r="O521" s="265"/>
      <c r="P521" s="265"/>
      <c r="Q521" s="266"/>
      <c r="R521" s="243"/>
    </row>
    <row r="522" spans="3:18" customFormat="1" x14ac:dyDescent="0.25">
      <c r="C522" s="243"/>
      <c r="D522" s="45"/>
      <c r="E522" s="45"/>
      <c r="F522" s="45"/>
      <c r="G522" s="45"/>
      <c r="H522" s="45"/>
      <c r="I522" s="265"/>
      <c r="J522" s="265"/>
      <c r="K522" s="45"/>
      <c r="L522" s="243"/>
      <c r="M522" s="243"/>
      <c r="N522" s="265"/>
      <c r="O522" s="265"/>
      <c r="P522" s="265"/>
      <c r="Q522" s="266"/>
      <c r="R522" s="243"/>
    </row>
    <row r="523" spans="3:18" customFormat="1" x14ac:dyDescent="0.25">
      <c r="C523" s="243"/>
      <c r="D523" s="45"/>
      <c r="E523" s="45"/>
      <c r="F523" s="45"/>
      <c r="G523" s="45"/>
      <c r="H523" s="45"/>
      <c r="I523" s="265"/>
      <c r="J523" s="265"/>
      <c r="K523" s="45"/>
      <c r="L523" s="243"/>
      <c r="M523" s="243"/>
      <c r="N523" s="265"/>
      <c r="O523" s="265"/>
      <c r="P523" s="265"/>
      <c r="Q523" s="266"/>
      <c r="R523" s="243"/>
    </row>
    <row r="524" spans="3:18" customFormat="1" x14ac:dyDescent="0.25">
      <c r="C524" s="243"/>
      <c r="D524" s="45"/>
      <c r="E524" s="45"/>
      <c r="F524" s="45"/>
      <c r="G524" s="45"/>
      <c r="H524" s="45"/>
      <c r="I524" s="265"/>
      <c r="J524" s="265"/>
      <c r="K524" s="45"/>
      <c r="L524" s="243"/>
      <c r="M524" s="243"/>
      <c r="N524" s="265"/>
      <c r="O524" s="265"/>
      <c r="P524" s="265"/>
      <c r="Q524" s="266"/>
      <c r="R524" s="243"/>
    </row>
    <row r="525" spans="3:18" customFormat="1" x14ac:dyDescent="0.25">
      <c r="C525" s="243"/>
      <c r="D525" s="45"/>
      <c r="E525" s="45"/>
      <c r="F525" s="45"/>
      <c r="G525" s="45"/>
      <c r="H525" s="45"/>
      <c r="I525" s="265"/>
      <c r="J525" s="265"/>
      <c r="K525" s="45"/>
      <c r="L525" s="243"/>
      <c r="M525" s="243"/>
      <c r="N525" s="265"/>
      <c r="O525" s="265"/>
      <c r="P525" s="265"/>
      <c r="Q525" s="266"/>
      <c r="R525" s="243"/>
    </row>
    <row r="526" spans="3:18" customFormat="1" x14ac:dyDescent="0.25">
      <c r="C526" s="243"/>
      <c r="D526" s="45"/>
      <c r="E526" s="45"/>
      <c r="F526" s="45"/>
      <c r="G526" s="45"/>
      <c r="H526" s="45"/>
      <c r="I526" s="265"/>
      <c r="J526" s="265"/>
      <c r="K526" s="45"/>
      <c r="L526" s="243"/>
      <c r="M526" s="243"/>
      <c r="N526" s="265"/>
      <c r="O526" s="265"/>
      <c r="P526" s="265"/>
      <c r="Q526" s="266"/>
      <c r="R526" s="243"/>
    </row>
    <row r="527" spans="3:18" customFormat="1" x14ac:dyDescent="0.25">
      <c r="C527" s="243"/>
      <c r="D527" s="45"/>
      <c r="E527" s="45"/>
      <c r="F527" s="45"/>
      <c r="G527" s="45"/>
      <c r="H527" s="45"/>
      <c r="I527" s="265"/>
      <c r="J527" s="265"/>
      <c r="K527" s="45"/>
      <c r="L527" s="243"/>
      <c r="M527" s="243"/>
      <c r="N527" s="265"/>
      <c r="O527" s="265"/>
      <c r="P527" s="265"/>
      <c r="Q527" s="266"/>
      <c r="R527" s="243"/>
    </row>
    <row r="528" spans="3:18" customFormat="1" x14ac:dyDescent="0.25">
      <c r="C528" s="243"/>
      <c r="D528" s="45"/>
      <c r="E528" s="45"/>
      <c r="F528" s="45"/>
      <c r="G528" s="45"/>
      <c r="H528" s="45"/>
      <c r="I528" s="265"/>
      <c r="J528" s="265"/>
      <c r="K528" s="45"/>
      <c r="L528" s="243"/>
      <c r="M528" s="243"/>
      <c r="N528" s="265"/>
      <c r="O528" s="265"/>
      <c r="P528" s="265"/>
      <c r="Q528" s="266"/>
      <c r="R528" s="243"/>
    </row>
    <row r="529" spans="3:18" customFormat="1" x14ac:dyDescent="0.25">
      <c r="C529" s="243"/>
      <c r="D529" s="45"/>
      <c r="E529" s="45"/>
      <c r="F529" s="45"/>
      <c r="G529" s="45"/>
      <c r="H529" s="45"/>
      <c r="I529" s="265"/>
      <c r="J529" s="265"/>
      <c r="K529" s="45"/>
      <c r="L529" s="243"/>
      <c r="M529" s="243"/>
      <c r="N529" s="265"/>
      <c r="O529" s="265"/>
      <c r="P529" s="265"/>
      <c r="Q529" s="266"/>
      <c r="R529" s="243"/>
    </row>
    <row r="530" spans="3:18" customFormat="1" x14ac:dyDescent="0.25">
      <c r="C530" s="243"/>
      <c r="D530" s="45"/>
      <c r="E530" s="45"/>
      <c r="F530" s="45"/>
      <c r="G530" s="45"/>
      <c r="H530" s="45"/>
      <c r="I530" s="265"/>
      <c r="J530" s="265"/>
      <c r="K530" s="45"/>
      <c r="L530" s="243"/>
      <c r="M530" s="243"/>
      <c r="N530" s="265"/>
      <c r="O530" s="265"/>
      <c r="P530" s="265"/>
      <c r="Q530" s="266"/>
      <c r="R530" s="243"/>
    </row>
    <row r="531" spans="3:18" customFormat="1" x14ac:dyDescent="0.25">
      <c r="C531" s="243"/>
      <c r="D531" s="45"/>
      <c r="E531" s="45"/>
      <c r="F531" s="45"/>
      <c r="G531" s="45"/>
      <c r="H531" s="45"/>
      <c r="I531" s="265"/>
      <c r="J531" s="265"/>
      <c r="K531" s="45"/>
      <c r="L531" s="243"/>
      <c r="M531" s="243"/>
      <c r="N531" s="265"/>
      <c r="O531" s="265"/>
      <c r="P531" s="265"/>
      <c r="Q531" s="266"/>
      <c r="R531" s="243"/>
    </row>
    <row r="532" spans="3:18" customFormat="1" x14ac:dyDescent="0.25">
      <c r="C532" s="243"/>
      <c r="D532" s="45"/>
      <c r="E532" s="45"/>
      <c r="F532" s="45"/>
      <c r="G532" s="45"/>
      <c r="H532" s="45"/>
      <c r="I532" s="265"/>
      <c r="J532" s="265"/>
      <c r="K532" s="45"/>
      <c r="L532" s="243"/>
      <c r="M532" s="243"/>
      <c r="N532" s="265"/>
      <c r="O532" s="265"/>
      <c r="P532" s="265"/>
      <c r="Q532" s="266"/>
      <c r="R532" s="243"/>
    </row>
    <row r="533" spans="3:18" customFormat="1" x14ac:dyDescent="0.25">
      <c r="C533" s="243"/>
      <c r="D533" s="45"/>
      <c r="E533" s="45"/>
      <c r="F533" s="45"/>
      <c r="G533" s="45"/>
      <c r="H533" s="45"/>
      <c r="I533" s="265"/>
      <c r="J533" s="265"/>
      <c r="K533" s="45"/>
      <c r="L533" s="243"/>
      <c r="M533" s="243"/>
      <c r="N533" s="265"/>
      <c r="O533" s="265"/>
      <c r="P533" s="265"/>
      <c r="Q533" s="266"/>
      <c r="R533" s="243"/>
    </row>
    <row r="534" spans="3:18" customFormat="1" x14ac:dyDescent="0.25">
      <c r="C534" s="243"/>
      <c r="D534" s="45"/>
      <c r="E534" s="45"/>
      <c r="F534" s="45"/>
      <c r="G534" s="45"/>
      <c r="H534" s="45"/>
      <c r="I534" s="265"/>
      <c r="J534" s="265"/>
      <c r="K534" s="45"/>
      <c r="L534" s="243"/>
      <c r="M534" s="243"/>
      <c r="N534" s="265"/>
      <c r="O534" s="265"/>
      <c r="P534" s="265"/>
      <c r="Q534" s="266"/>
      <c r="R534" s="243"/>
    </row>
    <row r="535" spans="3:18" customFormat="1" x14ac:dyDescent="0.25">
      <c r="C535" s="243"/>
      <c r="D535" s="45"/>
      <c r="E535" s="45"/>
      <c r="F535" s="45"/>
      <c r="G535" s="45"/>
      <c r="H535" s="45"/>
      <c r="I535" s="265"/>
      <c r="J535" s="265"/>
      <c r="K535" s="45"/>
      <c r="L535" s="243"/>
      <c r="M535" s="243"/>
      <c r="N535" s="265"/>
      <c r="O535" s="265"/>
      <c r="P535" s="265"/>
      <c r="Q535" s="266"/>
      <c r="R535" s="243"/>
    </row>
    <row r="536" spans="3:18" customFormat="1" x14ac:dyDescent="0.25">
      <c r="C536" s="243"/>
      <c r="D536" s="45"/>
      <c r="E536" s="45"/>
      <c r="F536" s="45"/>
      <c r="G536" s="45"/>
      <c r="H536" s="45"/>
      <c r="I536" s="265"/>
      <c r="J536" s="265"/>
      <c r="K536" s="45"/>
      <c r="L536" s="243"/>
      <c r="M536" s="243"/>
      <c r="N536" s="265"/>
      <c r="O536" s="265"/>
      <c r="P536" s="265"/>
      <c r="Q536" s="266"/>
      <c r="R536" s="243"/>
    </row>
    <row r="537" spans="3:18" customFormat="1" x14ac:dyDescent="0.25">
      <c r="C537" s="243"/>
      <c r="D537" s="45"/>
      <c r="E537" s="45"/>
      <c r="F537" s="45"/>
      <c r="G537" s="45"/>
      <c r="H537" s="45"/>
      <c r="I537" s="265"/>
      <c r="J537" s="265"/>
      <c r="K537" s="45"/>
      <c r="L537" s="243"/>
      <c r="M537" s="243"/>
      <c r="N537" s="265"/>
      <c r="O537" s="265"/>
      <c r="P537" s="265"/>
      <c r="Q537" s="266"/>
      <c r="R537" s="243"/>
    </row>
    <row r="538" spans="3:18" customFormat="1" x14ac:dyDescent="0.25">
      <c r="C538" s="243"/>
      <c r="D538" s="45"/>
      <c r="E538" s="45"/>
      <c r="F538" s="45"/>
      <c r="G538" s="45"/>
      <c r="H538" s="45"/>
      <c r="I538" s="265"/>
      <c r="J538" s="265"/>
      <c r="K538" s="45"/>
      <c r="L538" s="243"/>
      <c r="M538" s="243"/>
      <c r="N538" s="265"/>
      <c r="O538" s="265"/>
      <c r="P538" s="265"/>
      <c r="Q538" s="266"/>
      <c r="R538" s="243"/>
    </row>
    <row r="539" spans="3:18" customFormat="1" x14ac:dyDescent="0.25">
      <c r="C539" s="243"/>
      <c r="D539" s="45"/>
      <c r="E539" s="45"/>
      <c r="F539" s="45"/>
      <c r="G539" s="45"/>
      <c r="H539" s="45"/>
      <c r="I539" s="265"/>
      <c r="J539" s="265"/>
      <c r="K539" s="45"/>
      <c r="L539" s="243"/>
      <c r="M539" s="243"/>
      <c r="N539" s="265"/>
      <c r="O539" s="265"/>
      <c r="P539" s="265"/>
      <c r="Q539" s="266"/>
      <c r="R539" s="243"/>
    </row>
    <row r="540" spans="3:18" customFormat="1" x14ac:dyDescent="0.25">
      <c r="C540" s="243"/>
      <c r="D540" s="45"/>
      <c r="E540" s="45"/>
      <c r="F540" s="45"/>
      <c r="G540" s="45"/>
      <c r="H540" s="45"/>
      <c r="I540" s="265"/>
      <c r="J540" s="265"/>
      <c r="K540" s="45"/>
      <c r="L540" s="243"/>
      <c r="M540" s="243"/>
      <c r="N540" s="265"/>
      <c r="O540" s="265"/>
      <c r="P540" s="265"/>
      <c r="Q540" s="266"/>
      <c r="R540" s="243"/>
    </row>
    <row r="541" spans="3:18" customFormat="1" x14ac:dyDescent="0.25">
      <c r="C541" s="243"/>
      <c r="D541" s="45"/>
      <c r="E541" s="45"/>
      <c r="F541" s="45"/>
      <c r="G541" s="45"/>
      <c r="H541" s="45"/>
      <c r="I541" s="265"/>
      <c r="J541" s="265"/>
      <c r="K541" s="45"/>
      <c r="L541" s="243"/>
      <c r="M541" s="243"/>
      <c r="N541" s="265"/>
      <c r="O541" s="265"/>
      <c r="P541" s="265"/>
      <c r="Q541" s="266"/>
      <c r="R541" s="243"/>
    </row>
    <row r="542" spans="3:18" customFormat="1" x14ac:dyDescent="0.25">
      <c r="C542" s="243"/>
      <c r="D542" s="45"/>
      <c r="E542" s="45"/>
      <c r="F542" s="45"/>
      <c r="G542" s="45"/>
      <c r="H542" s="45"/>
      <c r="I542" s="265"/>
      <c r="J542" s="265"/>
      <c r="K542" s="45"/>
      <c r="L542" s="243"/>
      <c r="M542" s="243"/>
      <c r="N542" s="265"/>
      <c r="O542" s="265"/>
      <c r="P542" s="265"/>
      <c r="Q542" s="266"/>
      <c r="R542" s="243"/>
    </row>
    <row r="543" spans="3:18" customFormat="1" x14ac:dyDescent="0.25">
      <c r="C543" s="243"/>
      <c r="D543" s="45"/>
      <c r="E543" s="45"/>
      <c r="F543" s="45"/>
      <c r="G543" s="45"/>
      <c r="H543" s="45"/>
      <c r="I543" s="265"/>
      <c r="J543" s="265"/>
      <c r="K543" s="45"/>
      <c r="L543" s="243"/>
      <c r="M543" s="243"/>
      <c r="N543" s="265"/>
      <c r="O543" s="265"/>
      <c r="P543" s="265"/>
      <c r="Q543" s="266"/>
      <c r="R543" s="243"/>
    </row>
    <row r="544" spans="3:18" customFormat="1" x14ac:dyDescent="0.25">
      <c r="C544" s="243"/>
      <c r="D544" s="45"/>
      <c r="E544" s="45"/>
      <c r="F544" s="45"/>
      <c r="G544" s="45"/>
      <c r="H544" s="45"/>
      <c r="I544" s="265"/>
      <c r="J544" s="265"/>
      <c r="K544" s="45"/>
      <c r="L544" s="243"/>
      <c r="M544" s="243"/>
      <c r="N544" s="265"/>
      <c r="O544" s="265"/>
      <c r="P544" s="265"/>
      <c r="Q544" s="266"/>
      <c r="R544" s="243"/>
    </row>
    <row r="545" spans="3:18" customFormat="1" x14ac:dyDescent="0.25">
      <c r="C545" s="243"/>
      <c r="D545" s="45"/>
      <c r="E545" s="45"/>
      <c r="F545" s="45"/>
      <c r="G545" s="45"/>
      <c r="H545" s="45"/>
      <c r="I545" s="265"/>
      <c r="J545" s="265"/>
      <c r="K545" s="45"/>
      <c r="L545" s="243"/>
      <c r="M545" s="243"/>
      <c r="N545" s="265"/>
      <c r="O545" s="265"/>
      <c r="P545" s="265"/>
      <c r="Q545" s="266"/>
      <c r="R545" s="243"/>
    </row>
    <row r="546" spans="3:18" customFormat="1" x14ac:dyDescent="0.25">
      <c r="C546" s="243"/>
      <c r="D546" s="45"/>
      <c r="E546" s="45"/>
      <c r="F546" s="45"/>
      <c r="G546" s="45"/>
      <c r="H546" s="45"/>
      <c r="I546" s="265"/>
      <c r="J546" s="265"/>
      <c r="K546" s="45"/>
      <c r="L546" s="243"/>
      <c r="M546" s="243"/>
      <c r="N546" s="265"/>
      <c r="O546" s="265"/>
      <c r="P546" s="265"/>
      <c r="Q546" s="266"/>
      <c r="R546" s="243"/>
    </row>
    <row r="547" spans="3:18" customFormat="1" x14ac:dyDescent="0.25">
      <c r="C547" s="243"/>
      <c r="D547" s="45"/>
      <c r="E547" s="45"/>
      <c r="F547" s="45"/>
      <c r="G547" s="45"/>
      <c r="H547" s="45"/>
      <c r="I547" s="265"/>
      <c r="J547" s="265"/>
      <c r="K547" s="45"/>
      <c r="L547" s="243"/>
      <c r="M547" s="243"/>
      <c r="N547" s="265"/>
      <c r="O547" s="265"/>
      <c r="P547" s="265"/>
      <c r="Q547" s="266"/>
      <c r="R547" s="243"/>
    </row>
    <row r="548" spans="3:18" customFormat="1" x14ac:dyDescent="0.25">
      <c r="C548" s="243"/>
      <c r="D548" s="45"/>
      <c r="E548" s="45"/>
      <c r="F548" s="45"/>
      <c r="G548" s="45"/>
      <c r="H548" s="45"/>
      <c r="I548" s="265"/>
      <c r="J548" s="265"/>
      <c r="K548" s="45"/>
      <c r="L548" s="243"/>
      <c r="M548" s="243"/>
      <c r="N548" s="265"/>
      <c r="O548" s="265"/>
      <c r="P548" s="265"/>
      <c r="Q548" s="266"/>
      <c r="R548" s="243"/>
    </row>
    <row r="549" spans="3:18" customFormat="1" x14ac:dyDescent="0.25">
      <c r="C549" s="243"/>
      <c r="D549" s="45"/>
      <c r="E549" s="45"/>
      <c r="F549" s="45"/>
      <c r="G549" s="45"/>
      <c r="H549" s="45"/>
      <c r="I549" s="265"/>
      <c r="J549" s="265"/>
      <c r="K549" s="45"/>
      <c r="L549" s="243"/>
      <c r="M549" s="243"/>
      <c r="N549" s="265"/>
      <c r="O549" s="265"/>
      <c r="P549" s="265"/>
      <c r="Q549" s="266"/>
      <c r="R549" s="243"/>
    </row>
    <row r="550" spans="3:18" customFormat="1" x14ac:dyDescent="0.25">
      <c r="C550" s="243"/>
      <c r="D550" s="45"/>
      <c r="E550" s="45"/>
      <c r="F550" s="45"/>
      <c r="G550" s="45"/>
      <c r="H550" s="45"/>
      <c r="I550" s="265"/>
      <c r="J550" s="265"/>
      <c r="K550" s="45"/>
      <c r="L550" s="243"/>
      <c r="M550" s="243"/>
      <c r="N550" s="265"/>
      <c r="O550" s="265"/>
      <c r="P550" s="265"/>
      <c r="Q550" s="266"/>
      <c r="R550" s="243"/>
    </row>
    <row r="551" spans="3:18" customFormat="1" x14ac:dyDescent="0.25">
      <c r="C551" s="243"/>
      <c r="D551" s="45"/>
      <c r="E551" s="45"/>
      <c r="F551" s="45"/>
      <c r="G551" s="45"/>
      <c r="H551" s="45"/>
      <c r="I551" s="265"/>
      <c r="J551" s="265"/>
      <c r="K551" s="45"/>
      <c r="L551" s="243"/>
      <c r="M551" s="243"/>
      <c r="N551" s="265"/>
      <c r="O551" s="265"/>
      <c r="P551" s="265"/>
      <c r="Q551" s="266"/>
      <c r="R551" s="243"/>
    </row>
    <row r="552" spans="3:18" customFormat="1" x14ac:dyDescent="0.25">
      <c r="C552" s="243"/>
      <c r="D552" s="45"/>
      <c r="E552" s="45"/>
      <c r="F552" s="45"/>
      <c r="G552" s="45"/>
      <c r="H552" s="45"/>
      <c r="I552" s="265"/>
      <c r="J552" s="265"/>
      <c r="K552" s="45"/>
      <c r="L552" s="243"/>
      <c r="M552" s="243"/>
      <c r="N552" s="265"/>
      <c r="O552" s="265"/>
      <c r="P552" s="265"/>
      <c r="Q552" s="266"/>
      <c r="R552" s="243"/>
    </row>
    <row r="553" spans="3:18" customFormat="1" x14ac:dyDescent="0.25">
      <c r="C553" s="243"/>
      <c r="D553" s="45"/>
      <c r="E553" s="45"/>
      <c r="F553" s="45"/>
      <c r="G553" s="45"/>
      <c r="H553" s="45"/>
      <c r="I553" s="265"/>
      <c r="J553" s="265"/>
      <c r="K553" s="45"/>
      <c r="L553" s="243"/>
      <c r="M553" s="243"/>
      <c r="N553" s="265"/>
      <c r="O553" s="265"/>
      <c r="P553" s="265"/>
      <c r="Q553" s="266"/>
      <c r="R553" s="243"/>
    </row>
    <row r="554" spans="3:18" customFormat="1" x14ac:dyDescent="0.25">
      <c r="C554" s="243"/>
      <c r="D554" s="45"/>
      <c r="E554" s="45"/>
      <c r="F554" s="45"/>
      <c r="G554" s="45"/>
      <c r="H554" s="45"/>
      <c r="I554" s="265"/>
      <c r="J554" s="265"/>
      <c r="K554" s="45"/>
      <c r="L554" s="243"/>
      <c r="M554" s="243"/>
      <c r="N554" s="265"/>
      <c r="O554" s="265"/>
      <c r="P554" s="265"/>
      <c r="Q554" s="266"/>
      <c r="R554" s="243"/>
    </row>
    <row r="555" spans="3:18" customFormat="1" x14ac:dyDescent="0.25">
      <c r="C555" s="243"/>
      <c r="D555" s="45"/>
      <c r="E555" s="45"/>
      <c r="F555" s="45"/>
      <c r="G555" s="45"/>
      <c r="H555" s="45"/>
      <c r="I555" s="265"/>
      <c r="J555" s="265"/>
      <c r="K555" s="45"/>
      <c r="L555" s="243"/>
      <c r="M555" s="243"/>
      <c r="N555" s="265"/>
      <c r="O555" s="265"/>
      <c r="P555" s="265"/>
      <c r="Q555" s="266"/>
      <c r="R555" s="243"/>
    </row>
    <row r="556" spans="3:18" customFormat="1" x14ac:dyDescent="0.25">
      <c r="C556" s="243"/>
      <c r="D556" s="45"/>
      <c r="E556" s="45"/>
      <c r="F556" s="45"/>
      <c r="G556" s="45"/>
      <c r="H556" s="45"/>
      <c r="I556" s="265"/>
      <c r="J556" s="265"/>
      <c r="K556" s="45"/>
      <c r="L556" s="243"/>
      <c r="M556" s="243"/>
      <c r="N556" s="265"/>
      <c r="O556" s="265"/>
      <c r="P556" s="265"/>
      <c r="Q556" s="266"/>
      <c r="R556" s="243"/>
    </row>
    <row r="557" spans="3:18" customFormat="1" x14ac:dyDescent="0.25">
      <c r="C557" s="243"/>
      <c r="D557" s="45"/>
      <c r="E557" s="45"/>
      <c r="F557" s="45"/>
      <c r="G557" s="45"/>
      <c r="H557" s="45"/>
      <c r="I557" s="265"/>
      <c r="J557" s="265"/>
      <c r="K557" s="45"/>
      <c r="L557" s="243"/>
      <c r="M557" s="243"/>
      <c r="N557" s="265"/>
      <c r="O557" s="265"/>
      <c r="P557" s="265"/>
      <c r="Q557" s="266"/>
      <c r="R557" s="243"/>
    </row>
    <row r="558" spans="3:18" customFormat="1" x14ac:dyDescent="0.25">
      <c r="C558" s="243"/>
      <c r="D558" s="45"/>
      <c r="E558" s="45"/>
      <c r="F558" s="45"/>
      <c r="G558" s="45"/>
      <c r="H558" s="45"/>
      <c r="I558" s="265"/>
      <c r="J558" s="265"/>
      <c r="K558" s="45"/>
      <c r="L558" s="243"/>
      <c r="M558" s="243"/>
      <c r="N558" s="265"/>
      <c r="O558" s="265"/>
      <c r="P558" s="265"/>
      <c r="Q558" s="266"/>
      <c r="R558" s="243"/>
    </row>
    <row r="559" spans="3:18" customFormat="1" x14ac:dyDescent="0.25">
      <c r="C559" s="243"/>
      <c r="D559" s="45"/>
      <c r="E559" s="45"/>
      <c r="F559" s="45"/>
      <c r="G559" s="45"/>
      <c r="H559" s="45"/>
      <c r="I559" s="265"/>
      <c r="J559" s="265"/>
      <c r="K559" s="45"/>
      <c r="L559" s="243"/>
      <c r="M559" s="243"/>
      <c r="N559" s="265"/>
      <c r="O559" s="265"/>
      <c r="P559" s="265"/>
      <c r="Q559" s="266"/>
      <c r="R559" s="243"/>
    </row>
    <row r="560" spans="3:18" customFormat="1" x14ac:dyDescent="0.25">
      <c r="C560" s="243"/>
      <c r="D560" s="45"/>
      <c r="E560" s="45"/>
      <c r="F560" s="45"/>
      <c r="G560" s="45"/>
      <c r="H560" s="45"/>
      <c r="I560" s="265"/>
      <c r="J560" s="265"/>
      <c r="K560" s="45"/>
      <c r="L560" s="243"/>
      <c r="M560" s="243"/>
      <c r="N560" s="265"/>
      <c r="O560" s="265"/>
      <c r="P560" s="265"/>
      <c r="Q560" s="266"/>
      <c r="R560" s="243"/>
    </row>
    <row r="561" spans="3:18" customFormat="1" x14ac:dyDescent="0.25">
      <c r="C561" s="243"/>
      <c r="D561" s="45"/>
      <c r="E561" s="45"/>
      <c r="F561" s="45"/>
      <c r="G561" s="45"/>
      <c r="H561" s="45"/>
      <c r="I561" s="265"/>
      <c r="J561" s="265"/>
      <c r="K561" s="45"/>
      <c r="L561" s="243"/>
      <c r="M561" s="243"/>
      <c r="N561" s="265"/>
      <c r="O561" s="265"/>
      <c r="P561" s="265"/>
      <c r="Q561" s="266"/>
      <c r="R561" s="243"/>
    </row>
    <row r="562" spans="3:18" customFormat="1" x14ac:dyDescent="0.25">
      <c r="C562" s="243"/>
      <c r="D562" s="45"/>
      <c r="E562" s="45"/>
      <c r="F562" s="45"/>
      <c r="G562" s="45"/>
      <c r="H562" s="45"/>
      <c r="I562" s="265"/>
      <c r="J562" s="265"/>
      <c r="K562" s="45"/>
      <c r="L562" s="243"/>
      <c r="M562" s="243"/>
      <c r="N562" s="265"/>
      <c r="O562" s="265"/>
      <c r="P562" s="265"/>
      <c r="Q562" s="266"/>
      <c r="R562" s="243"/>
    </row>
    <row r="563" spans="3:18" customFormat="1" x14ac:dyDescent="0.25">
      <c r="C563" s="243"/>
      <c r="D563" s="45"/>
      <c r="E563" s="45"/>
      <c r="F563" s="45"/>
      <c r="G563" s="45"/>
      <c r="H563" s="45"/>
      <c r="I563" s="265"/>
      <c r="J563" s="265"/>
      <c r="K563" s="45"/>
      <c r="L563" s="243"/>
      <c r="M563" s="243"/>
      <c r="N563" s="265"/>
      <c r="O563" s="265"/>
      <c r="P563" s="265"/>
      <c r="Q563" s="266"/>
      <c r="R563" s="243"/>
    </row>
    <row r="564" spans="3:18" customFormat="1" x14ac:dyDescent="0.25">
      <c r="C564" s="243"/>
      <c r="D564" s="45"/>
      <c r="E564" s="45"/>
      <c r="F564" s="45"/>
      <c r="G564" s="45"/>
      <c r="H564" s="45"/>
      <c r="I564" s="265"/>
      <c r="J564" s="265"/>
      <c r="K564" s="45"/>
      <c r="L564" s="243"/>
      <c r="M564" s="243"/>
      <c r="N564" s="265"/>
      <c r="O564" s="265"/>
      <c r="P564" s="265"/>
      <c r="Q564" s="266"/>
      <c r="R564" s="243"/>
    </row>
    <row r="565" spans="3:18" customFormat="1" x14ac:dyDescent="0.25">
      <c r="C565" s="243"/>
      <c r="D565" s="45"/>
      <c r="E565" s="45"/>
      <c r="F565" s="45"/>
      <c r="G565" s="45"/>
      <c r="H565" s="45"/>
      <c r="I565" s="265"/>
      <c r="J565" s="265"/>
      <c r="K565" s="45"/>
      <c r="L565" s="243"/>
      <c r="M565" s="243"/>
      <c r="N565" s="265"/>
      <c r="O565" s="265"/>
      <c r="P565" s="265"/>
      <c r="Q565" s="266"/>
      <c r="R565" s="243"/>
    </row>
    <row r="566" spans="3:18" customFormat="1" x14ac:dyDescent="0.25">
      <c r="C566" s="243"/>
      <c r="D566" s="45"/>
      <c r="E566" s="45"/>
      <c r="F566" s="45"/>
      <c r="G566" s="45"/>
      <c r="H566" s="45"/>
      <c r="I566" s="265"/>
      <c r="J566" s="265"/>
      <c r="K566" s="45"/>
      <c r="L566" s="243"/>
      <c r="M566" s="243"/>
      <c r="N566" s="265"/>
      <c r="O566" s="265"/>
      <c r="P566" s="265"/>
      <c r="Q566" s="266"/>
      <c r="R566" s="243"/>
    </row>
    <row r="567" spans="3:18" customFormat="1" x14ac:dyDescent="0.25">
      <c r="C567" s="243"/>
      <c r="D567" s="45"/>
      <c r="E567" s="45"/>
      <c r="F567" s="45"/>
      <c r="G567" s="45"/>
      <c r="H567" s="45"/>
      <c r="I567" s="265"/>
      <c r="J567" s="265"/>
      <c r="K567" s="45"/>
      <c r="L567" s="243"/>
      <c r="M567" s="243"/>
      <c r="N567" s="265"/>
      <c r="O567" s="265"/>
      <c r="P567" s="265"/>
      <c r="Q567" s="266"/>
      <c r="R567" s="243"/>
    </row>
    <row r="568" spans="3:18" customFormat="1" x14ac:dyDescent="0.25">
      <c r="C568" s="243"/>
      <c r="D568" s="45"/>
      <c r="E568" s="45"/>
      <c r="F568" s="45"/>
      <c r="G568" s="45"/>
      <c r="H568" s="45"/>
      <c r="I568" s="265"/>
      <c r="J568" s="265"/>
      <c r="K568" s="45"/>
      <c r="L568" s="243"/>
      <c r="M568" s="243"/>
      <c r="N568" s="265"/>
      <c r="O568" s="265"/>
      <c r="P568" s="265"/>
      <c r="Q568" s="266"/>
      <c r="R568" s="243"/>
    </row>
    <row r="569" spans="3:18" customFormat="1" x14ac:dyDescent="0.25">
      <c r="C569" s="243"/>
      <c r="D569" s="45"/>
      <c r="E569" s="45"/>
      <c r="F569" s="45"/>
      <c r="G569" s="45"/>
      <c r="H569" s="45"/>
      <c r="I569" s="265"/>
      <c r="J569" s="265"/>
      <c r="K569" s="45"/>
      <c r="L569" s="243"/>
      <c r="M569" s="243"/>
      <c r="N569" s="265"/>
      <c r="O569" s="265"/>
      <c r="P569" s="265"/>
      <c r="Q569" s="266"/>
      <c r="R569" s="243"/>
    </row>
    <row r="570" spans="3:18" customFormat="1" x14ac:dyDescent="0.25">
      <c r="C570" s="243"/>
      <c r="D570" s="45"/>
      <c r="E570" s="45"/>
      <c r="F570" s="45"/>
      <c r="G570" s="45"/>
      <c r="H570" s="45"/>
      <c r="I570" s="265"/>
      <c r="J570" s="265"/>
      <c r="K570" s="45"/>
      <c r="L570" s="243"/>
      <c r="M570" s="243"/>
      <c r="N570" s="265"/>
      <c r="O570" s="265"/>
      <c r="P570" s="265"/>
      <c r="Q570" s="266"/>
      <c r="R570" s="243"/>
    </row>
    <row r="571" spans="3:18" customFormat="1" x14ac:dyDescent="0.25">
      <c r="C571" s="243"/>
      <c r="D571" s="45"/>
      <c r="E571" s="45"/>
      <c r="F571" s="45"/>
      <c r="G571" s="45"/>
      <c r="H571" s="45"/>
      <c r="I571" s="265"/>
      <c r="J571" s="265"/>
      <c r="K571" s="45"/>
      <c r="L571" s="243"/>
      <c r="M571" s="243"/>
      <c r="N571" s="265"/>
      <c r="O571" s="265"/>
      <c r="P571" s="265"/>
      <c r="Q571" s="266"/>
      <c r="R571" s="243"/>
    </row>
    <row r="572" spans="3:18" customFormat="1" x14ac:dyDescent="0.25">
      <c r="C572" s="243"/>
      <c r="D572" s="45"/>
      <c r="E572" s="45"/>
      <c r="F572" s="45"/>
      <c r="G572" s="45"/>
      <c r="H572" s="45"/>
      <c r="I572" s="265"/>
      <c r="J572" s="265"/>
      <c r="K572" s="45"/>
      <c r="L572" s="243"/>
      <c r="M572" s="243"/>
      <c r="N572" s="265"/>
      <c r="O572" s="265"/>
      <c r="P572" s="265"/>
      <c r="Q572" s="266"/>
      <c r="R572" s="243"/>
    </row>
    <row r="573" spans="3:18" customFormat="1" x14ac:dyDescent="0.25">
      <c r="C573" s="243"/>
      <c r="D573" s="45"/>
      <c r="E573" s="45"/>
      <c r="F573" s="45"/>
      <c r="G573" s="45"/>
      <c r="H573" s="45"/>
      <c r="I573" s="265"/>
      <c r="J573" s="265"/>
      <c r="K573" s="45"/>
      <c r="L573" s="243"/>
      <c r="M573" s="243"/>
      <c r="N573" s="265"/>
      <c r="O573" s="265"/>
      <c r="P573" s="265"/>
      <c r="Q573" s="266"/>
      <c r="R573" s="243"/>
    </row>
    <row r="574" spans="3:18" customFormat="1" x14ac:dyDescent="0.25">
      <c r="C574" s="243"/>
      <c r="D574" s="45"/>
      <c r="E574" s="45"/>
      <c r="F574" s="45"/>
      <c r="G574" s="45"/>
      <c r="H574" s="45"/>
      <c r="I574" s="265"/>
      <c r="J574" s="265"/>
      <c r="K574" s="45"/>
      <c r="L574" s="243"/>
      <c r="M574" s="243"/>
      <c r="N574" s="265"/>
      <c r="O574" s="265"/>
      <c r="P574" s="265"/>
      <c r="Q574" s="266"/>
      <c r="R574" s="243"/>
    </row>
    <row r="575" spans="3:18" customFormat="1" x14ac:dyDescent="0.25">
      <c r="C575" s="243"/>
      <c r="D575" s="45"/>
      <c r="E575" s="45"/>
      <c r="F575" s="45"/>
      <c r="G575" s="45"/>
      <c r="H575" s="45"/>
      <c r="I575" s="265"/>
      <c r="J575" s="265"/>
      <c r="K575" s="45"/>
      <c r="L575" s="243"/>
      <c r="M575" s="243"/>
      <c r="N575" s="265"/>
      <c r="O575" s="265"/>
      <c r="P575" s="265"/>
      <c r="Q575" s="266"/>
      <c r="R575" s="243"/>
    </row>
    <row r="576" spans="3:18" customFormat="1" x14ac:dyDescent="0.25">
      <c r="C576" s="243"/>
      <c r="D576" s="45"/>
      <c r="E576" s="45"/>
      <c r="F576" s="45"/>
      <c r="G576" s="45"/>
      <c r="H576" s="45"/>
      <c r="I576" s="265"/>
      <c r="J576" s="265"/>
      <c r="K576" s="45"/>
      <c r="L576" s="243"/>
      <c r="M576" s="243"/>
      <c r="N576" s="265"/>
      <c r="O576" s="265"/>
      <c r="P576" s="265"/>
      <c r="Q576" s="266"/>
      <c r="R576" s="243"/>
    </row>
    <row r="577" spans="3:18" customFormat="1" x14ac:dyDescent="0.25">
      <c r="C577" s="243"/>
      <c r="D577" s="45"/>
      <c r="E577" s="45"/>
      <c r="F577" s="45"/>
      <c r="G577" s="45"/>
      <c r="H577" s="45"/>
      <c r="I577" s="265"/>
      <c r="J577" s="265"/>
      <c r="K577" s="45"/>
      <c r="L577" s="243"/>
      <c r="M577" s="243"/>
      <c r="N577" s="265"/>
      <c r="O577" s="265"/>
      <c r="P577" s="265"/>
      <c r="Q577" s="266"/>
      <c r="R577" s="243"/>
    </row>
    <row r="578" spans="3:18" customFormat="1" x14ac:dyDescent="0.25">
      <c r="C578" s="243"/>
      <c r="D578" s="45"/>
      <c r="E578" s="45"/>
      <c r="F578" s="45"/>
      <c r="G578" s="45"/>
      <c r="H578" s="45"/>
      <c r="I578" s="265"/>
      <c r="J578" s="265"/>
      <c r="K578" s="45"/>
      <c r="L578" s="243"/>
      <c r="M578" s="243"/>
      <c r="N578" s="265"/>
      <c r="O578" s="265"/>
      <c r="P578" s="265"/>
      <c r="Q578" s="266"/>
      <c r="R578" s="243"/>
    </row>
    <row r="579" spans="3:18" customFormat="1" x14ac:dyDescent="0.25">
      <c r="C579" s="243"/>
      <c r="D579" s="45"/>
      <c r="E579" s="45"/>
      <c r="F579" s="45"/>
      <c r="G579" s="45"/>
      <c r="H579" s="45"/>
      <c r="I579" s="265"/>
      <c r="J579" s="265"/>
      <c r="K579" s="45"/>
      <c r="L579" s="243"/>
      <c r="M579" s="243"/>
      <c r="N579" s="265"/>
      <c r="O579" s="265"/>
      <c r="P579" s="265"/>
      <c r="Q579" s="266"/>
      <c r="R579" s="243"/>
    </row>
    <row r="580" spans="3:18" customFormat="1" x14ac:dyDescent="0.25">
      <c r="C580" s="243"/>
      <c r="D580" s="45"/>
      <c r="E580" s="45"/>
      <c r="F580" s="45"/>
      <c r="G580" s="45"/>
      <c r="H580" s="45"/>
      <c r="I580" s="265"/>
      <c r="J580" s="265"/>
      <c r="K580" s="45"/>
      <c r="L580" s="243"/>
      <c r="M580" s="243"/>
      <c r="N580" s="265"/>
      <c r="O580" s="265"/>
      <c r="P580" s="265"/>
      <c r="Q580" s="266"/>
      <c r="R580" s="243"/>
    </row>
    <row r="581" spans="3:18" customFormat="1" x14ac:dyDescent="0.25">
      <c r="C581" s="243"/>
      <c r="D581" s="45"/>
      <c r="E581" s="45"/>
      <c r="F581" s="45"/>
      <c r="G581" s="45"/>
      <c r="H581" s="45"/>
      <c r="I581" s="265"/>
      <c r="J581" s="265"/>
      <c r="K581" s="45"/>
      <c r="L581" s="243"/>
      <c r="M581" s="243"/>
      <c r="N581" s="265"/>
      <c r="O581" s="265"/>
      <c r="P581" s="265"/>
      <c r="Q581" s="266"/>
      <c r="R581" s="243"/>
    </row>
    <row r="582" spans="3:18" customFormat="1" x14ac:dyDescent="0.25">
      <c r="C582" s="243"/>
      <c r="D582" s="45"/>
      <c r="E582" s="45"/>
      <c r="F582" s="45"/>
      <c r="G582" s="45"/>
      <c r="H582" s="45"/>
      <c r="I582" s="265"/>
      <c r="J582" s="265"/>
      <c r="K582" s="45"/>
      <c r="L582" s="243"/>
      <c r="M582" s="243"/>
      <c r="N582" s="265"/>
      <c r="O582" s="265"/>
      <c r="P582" s="265"/>
      <c r="Q582" s="266"/>
      <c r="R582" s="243"/>
    </row>
    <row r="583" spans="3:18" customFormat="1" x14ac:dyDescent="0.25">
      <c r="C583" s="243"/>
      <c r="D583" s="45"/>
      <c r="E583" s="45"/>
      <c r="F583" s="45"/>
      <c r="G583" s="45"/>
      <c r="H583" s="45"/>
      <c r="I583" s="265"/>
      <c r="J583" s="265"/>
      <c r="K583" s="45"/>
      <c r="L583" s="243"/>
      <c r="M583" s="243"/>
      <c r="N583" s="265"/>
      <c r="O583" s="265"/>
      <c r="P583" s="265"/>
      <c r="Q583" s="266"/>
      <c r="R583" s="243"/>
    </row>
    <row r="584" spans="3:18" customFormat="1" x14ac:dyDescent="0.25">
      <c r="C584" s="243"/>
      <c r="D584" s="45"/>
      <c r="E584" s="45"/>
      <c r="F584" s="45"/>
      <c r="G584" s="45"/>
      <c r="H584" s="45"/>
      <c r="I584" s="265"/>
      <c r="J584" s="265"/>
      <c r="K584" s="45"/>
      <c r="L584" s="243"/>
      <c r="M584" s="243"/>
      <c r="N584" s="265"/>
      <c r="O584" s="265"/>
      <c r="P584" s="265"/>
      <c r="Q584" s="266"/>
      <c r="R584" s="243"/>
    </row>
    <row r="585" spans="3:18" customFormat="1" x14ac:dyDescent="0.25">
      <c r="C585" s="243"/>
      <c r="D585" s="45"/>
      <c r="E585" s="45"/>
      <c r="F585" s="45"/>
      <c r="G585" s="45"/>
      <c r="H585" s="45"/>
      <c r="I585" s="265"/>
      <c r="J585" s="265"/>
      <c r="K585" s="45"/>
      <c r="L585" s="243"/>
      <c r="M585" s="243"/>
      <c r="N585" s="265"/>
      <c r="O585" s="265"/>
      <c r="P585" s="265"/>
      <c r="Q585" s="266"/>
      <c r="R585" s="243"/>
    </row>
    <row r="586" spans="3:18" customFormat="1" x14ac:dyDescent="0.25">
      <c r="C586" s="243"/>
      <c r="D586" s="45"/>
      <c r="E586" s="45"/>
      <c r="F586" s="45"/>
      <c r="G586" s="45"/>
      <c r="H586" s="45"/>
      <c r="I586" s="265"/>
      <c r="J586" s="265"/>
      <c r="K586" s="45"/>
      <c r="L586" s="243"/>
      <c r="M586" s="243"/>
      <c r="N586" s="265"/>
      <c r="O586" s="265"/>
      <c r="P586" s="265"/>
      <c r="Q586" s="266"/>
      <c r="R586" s="243"/>
    </row>
    <row r="587" spans="3:18" customFormat="1" x14ac:dyDescent="0.25">
      <c r="C587" s="243"/>
      <c r="D587" s="45"/>
      <c r="E587" s="45"/>
      <c r="F587" s="45"/>
      <c r="G587" s="45"/>
      <c r="H587" s="45"/>
      <c r="I587" s="265"/>
      <c r="J587" s="265"/>
      <c r="K587" s="45"/>
      <c r="L587" s="243"/>
      <c r="M587" s="243"/>
      <c r="N587" s="265"/>
      <c r="O587" s="265"/>
      <c r="P587" s="265"/>
      <c r="Q587" s="266"/>
      <c r="R587" s="243"/>
    </row>
    <row r="588" spans="3:18" customFormat="1" x14ac:dyDescent="0.25">
      <c r="C588" s="243"/>
      <c r="D588" s="45"/>
      <c r="E588" s="45"/>
      <c r="F588" s="45"/>
      <c r="G588" s="45"/>
      <c r="H588" s="45"/>
      <c r="I588" s="265"/>
      <c r="J588" s="265"/>
      <c r="K588" s="45"/>
      <c r="L588" s="243"/>
      <c r="M588" s="243"/>
      <c r="N588" s="265"/>
      <c r="O588" s="265"/>
      <c r="P588" s="265"/>
      <c r="Q588" s="266"/>
      <c r="R588" s="243"/>
    </row>
    <row r="589" spans="3:18" customFormat="1" x14ac:dyDescent="0.25">
      <c r="C589" s="243"/>
      <c r="D589" s="45"/>
      <c r="E589" s="45"/>
      <c r="F589" s="45"/>
      <c r="G589" s="45"/>
      <c r="H589" s="45"/>
      <c r="I589" s="265"/>
      <c r="J589" s="265"/>
      <c r="K589" s="45"/>
      <c r="L589" s="243"/>
      <c r="M589" s="243"/>
      <c r="N589" s="265"/>
      <c r="O589" s="265"/>
      <c r="P589" s="265"/>
      <c r="Q589" s="266"/>
      <c r="R589" s="243"/>
    </row>
    <row r="590" spans="3:18" customFormat="1" x14ac:dyDescent="0.25">
      <c r="C590" s="243"/>
      <c r="D590" s="45"/>
      <c r="E590" s="45"/>
      <c r="F590" s="45"/>
      <c r="G590" s="45"/>
      <c r="H590" s="45"/>
      <c r="I590" s="265"/>
      <c r="J590" s="265"/>
      <c r="K590" s="45"/>
      <c r="L590" s="243"/>
      <c r="M590" s="243"/>
      <c r="N590" s="265"/>
      <c r="O590" s="265"/>
      <c r="P590" s="265"/>
      <c r="Q590" s="266"/>
      <c r="R590" s="243"/>
    </row>
    <row r="591" spans="3:18" customFormat="1" x14ac:dyDescent="0.25">
      <c r="C591" s="243"/>
      <c r="D591" s="45"/>
      <c r="E591" s="45"/>
      <c r="F591" s="45"/>
      <c r="G591" s="45"/>
      <c r="H591" s="45"/>
      <c r="I591" s="265"/>
      <c r="J591" s="265"/>
      <c r="K591" s="45"/>
      <c r="L591" s="243"/>
      <c r="M591" s="243"/>
      <c r="N591" s="265"/>
      <c r="O591" s="265"/>
      <c r="P591" s="265"/>
      <c r="Q591" s="266"/>
      <c r="R591" s="243"/>
    </row>
    <row r="592" spans="3:18" customFormat="1" x14ac:dyDescent="0.25">
      <c r="C592" s="243"/>
      <c r="D592" s="45"/>
      <c r="E592" s="45"/>
      <c r="F592" s="45"/>
      <c r="G592" s="45"/>
      <c r="H592" s="45"/>
      <c r="I592" s="265"/>
      <c r="J592" s="265"/>
      <c r="K592" s="45"/>
      <c r="L592" s="243"/>
      <c r="M592" s="243"/>
      <c r="N592" s="265"/>
      <c r="O592" s="265"/>
      <c r="P592" s="265"/>
      <c r="Q592" s="266"/>
      <c r="R592" s="243"/>
    </row>
    <row r="593" spans="3:18" customFormat="1" x14ac:dyDescent="0.25">
      <c r="C593" s="243"/>
      <c r="D593" s="45"/>
      <c r="E593" s="45"/>
      <c r="F593" s="45"/>
      <c r="G593" s="45"/>
      <c r="H593" s="45"/>
      <c r="I593" s="265"/>
      <c r="J593" s="265"/>
      <c r="K593" s="45"/>
      <c r="L593" s="243"/>
      <c r="M593" s="243"/>
      <c r="N593" s="265"/>
      <c r="O593" s="265"/>
      <c r="P593" s="265"/>
      <c r="Q593" s="266"/>
      <c r="R593" s="243"/>
    </row>
    <row r="594" spans="3:18" customFormat="1" x14ac:dyDescent="0.25">
      <c r="C594" s="243"/>
      <c r="D594" s="45"/>
      <c r="E594" s="45"/>
      <c r="F594" s="45"/>
      <c r="G594" s="45"/>
      <c r="H594" s="45"/>
      <c r="I594" s="265"/>
      <c r="J594" s="265"/>
      <c r="K594" s="45"/>
      <c r="L594" s="243"/>
      <c r="M594" s="243"/>
      <c r="N594" s="265"/>
      <c r="O594" s="265"/>
      <c r="P594" s="265"/>
      <c r="Q594" s="266"/>
      <c r="R594" s="243"/>
    </row>
    <row r="595" spans="3:18" customFormat="1" x14ac:dyDescent="0.25">
      <c r="C595" s="243"/>
      <c r="D595" s="45"/>
      <c r="E595" s="45"/>
      <c r="F595" s="45"/>
      <c r="G595" s="45"/>
      <c r="H595" s="45"/>
      <c r="I595" s="265"/>
      <c r="J595" s="265"/>
      <c r="K595" s="45"/>
      <c r="L595" s="243"/>
      <c r="M595" s="243"/>
      <c r="N595" s="265"/>
      <c r="O595" s="265"/>
      <c r="P595" s="265"/>
      <c r="Q595" s="266"/>
      <c r="R595" s="243"/>
    </row>
    <row r="596" spans="3:18" customFormat="1" x14ac:dyDescent="0.25">
      <c r="C596" s="243"/>
      <c r="D596" s="45"/>
      <c r="E596" s="45"/>
      <c r="F596" s="45"/>
      <c r="G596" s="45"/>
      <c r="H596" s="45"/>
      <c r="I596" s="265"/>
      <c r="J596" s="265"/>
      <c r="K596" s="45"/>
      <c r="L596" s="243"/>
      <c r="M596" s="243"/>
      <c r="N596" s="265"/>
      <c r="O596" s="265"/>
      <c r="P596" s="265"/>
      <c r="Q596" s="266"/>
      <c r="R596" s="243"/>
    </row>
    <row r="597" spans="3:18" customFormat="1" x14ac:dyDescent="0.25">
      <c r="C597" s="243"/>
      <c r="D597" s="45"/>
      <c r="E597" s="45"/>
      <c r="F597" s="45"/>
      <c r="G597" s="45"/>
      <c r="H597" s="45"/>
      <c r="I597" s="265"/>
      <c r="J597" s="265"/>
      <c r="K597" s="45"/>
      <c r="L597" s="243"/>
      <c r="M597" s="243"/>
      <c r="N597" s="265"/>
      <c r="O597" s="265"/>
      <c r="P597" s="265"/>
      <c r="Q597" s="266"/>
      <c r="R597" s="243"/>
    </row>
    <row r="598" spans="3:18" customFormat="1" x14ac:dyDescent="0.25">
      <c r="C598" s="243"/>
      <c r="D598" s="45"/>
      <c r="E598" s="45"/>
      <c r="F598" s="45"/>
      <c r="G598" s="45"/>
      <c r="H598" s="45"/>
      <c r="I598" s="265"/>
      <c r="J598" s="265"/>
      <c r="K598" s="45"/>
      <c r="L598" s="243"/>
      <c r="M598" s="243"/>
      <c r="N598" s="265"/>
      <c r="O598" s="265"/>
      <c r="P598" s="265"/>
      <c r="Q598" s="266"/>
      <c r="R598" s="243"/>
    </row>
    <row r="599" spans="3:18" customFormat="1" x14ac:dyDescent="0.25">
      <c r="C599" s="243"/>
      <c r="D599" s="45"/>
      <c r="E599" s="45"/>
      <c r="F599" s="45"/>
      <c r="G599" s="45"/>
      <c r="H599" s="45"/>
      <c r="I599" s="265"/>
      <c r="J599" s="265"/>
      <c r="K599" s="45"/>
      <c r="L599" s="243"/>
      <c r="M599" s="243"/>
      <c r="N599" s="265"/>
      <c r="O599" s="265"/>
      <c r="P599" s="265"/>
      <c r="Q599" s="266"/>
      <c r="R599" s="243"/>
    </row>
    <row r="600" spans="3:18" customFormat="1" x14ac:dyDescent="0.25">
      <c r="C600" s="243"/>
      <c r="D600" s="45"/>
      <c r="E600" s="45"/>
      <c r="F600" s="45"/>
      <c r="G600" s="45"/>
      <c r="H600" s="45"/>
      <c r="I600" s="265"/>
      <c r="J600" s="265"/>
      <c r="K600" s="45"/>
      <c r="L600" s="243"/>
      <c r="M600" s="243"/>
      <c r="N600" s="265"/>
      <c r="O600" s="265"/>
      <c r="P600" s="265"/>
      <c r="Q600" s="266"/>
      <c r="R600" s="243"/>
    </row>
    <row r="601" spans="3:18" customFormat="1" x14ac:dyDescent="0.25">
      <c r="C601" s="243"/>
      <c r="D601" s="45"/>
      <c r="E601" s="45"/>
      <c r="F601" s="45"/>
      <c r="G601" s="45"/>
      <c r="H601" s="45"/>
      <c r="I601" s="265"/>
      <c r="J601" s="265"/>
      <c r="K601" s="45"/>
      <c r="L601" s="243"/>
      <c r="M601" s="243"/>
      <c r="N601" s="265"/>
      <c r="O601" s="265"/>
      <c r="P601" s="265"/>
      <c r="Q601" s="266"/>
      <c r="R601" s="243"/>
    </row>
    <row r="602" spans="3:18" customFormat="1" x14ac:dyDescent="0.25">
      <c r="C602" s="243"/>
      <c r="D602" s="45"/>
      <c r="E602" s="45"/>
      <c r="F602" s="45"/>
      <c r="G602" s="45"/>
      <c r="H602" s="45"/>
      <c r="I602" s="265"/>
      <c r="J602" s="265"/>
      <c r="K602" s="45"/>
      <c r="L602" s="243"/>
      <c r="M602" s="243"/>
      <c r="N602" s="265"/>
      <c r="O602" s="265"/>
      <c r="P602" s="265"/>
      <c r="Q602" s="266"/>
      <c r="R602" s="243"/>
    </row>
    <row r="603" spans="3:18" customFormat="1" x14ac:dyDescent="0.25">
      <c r="C603" s="243"/>
      <c r="D603" s="45"/>
      <c r="E603" s="45"/>
      <c r="F603" s="45"/>
      <c r="G603" s="45"/>
      <c r="H603" s="45"/>
      <c r="I603" s="265"/>
      <c r="J603" s="265"/>
      <c r="K603" s="45"/>
      <c r="L603" s="243"/>
      <c r="M603" s="243"/>
      <c r="N603" s="265"/>
      <c r="O603" s="265"/>
      <c r="P603" s="265"/>
      <c r="Q603" s="266"/>
      <c r="R603" s="243"/>
    </row>
    <row r="604" spans="3:18" customFormat="1" x14ac:dyDescent="0.25">
      <c r="C604" s="243"/>
      <c r="D604" s="45"/>
      <c r="E604" s="45"/>
      <c r="F604" s="45"/>
      <c r="G604" s="45"/>
      <c r="H604" s="45"/>
      <c r="I604" s="265"/>
      <c r="J604" s="265"/>
      <c r="K604" s="45"/>
      <c r="L604" s="243"/>
      <c r="M604" s="243"/>
      <c r="N604" s="265"/>
      <c r="O604" s="265"/>
      <c r="P604" s="265"/>
      <c r="Q604" s="266"/>
      <c r="R604" s="243"/>
    </row>
    <row r="605" spans="3:18" customFormat="1" x14ac:dyDescent="0.25">
      <c r="C605" s="243"/>
      <c r="D605" s="45"/>
      <c r="E605" s="45"/>
      <c r="F605" s="45"/>
      <c r="G605" s="45"/>
      <c r="H605" s="45"/>
      <c r="I605" s="265"/>
      <c r="J605" s="265"/>
      <c r="K605" s="45"/>
      <c r="L605" s="243"/>
      <c r="M605" s="243"/>
      <c r="N605" s="265"/>
      <c r="O605" s="265"/>
      <c r="P605" s="265"/>
      <c r="Q605" s="266"/>
      <c r="R605" s="243"/>
    </row>
    <row r="606" spans="3:18" customFormat="1" x14ac:dyDescent="0.25">
      <c r="C606" s="243"/>
      <c r="D606" s="45"/>
      <c r="E606" s="45"/>
      <c r="F606" s="45"/>
      <c r="G606" s="45"/>
      <c r="H606" s="45"/>
      <c r="I606" s="265"/>
      <c r="J606" s="265"/>
      <c r="K606" s="45"/>
      <c r="L606" s="243"/>
      <c r="M606" s="243"/>
      <c r="N606" s="265"/>
      <c r="O606" s="265"/>
      <c r="P606" s="265"/>
      <c r="Q606" s="266"/>
      <c r="R606" s="243"/>
    </row>
    <row r="607" spans="3:18" customFormat="1" x14ac:dyDescent="0.25">
      <c r="C607" s="243"/>
      <c r="D607" s="45"/>
      <c r="E607" s="45"/>
      <c r="F607" s="45"/>
      <c r="G607" s="45"/>
      <c r="H607" s="45"/>
      <c r="I607" s="265"/>
      <c r="J607" s="265"/>
      <c r="K607" s="45"/>
      <c r="L607" s="243"/>
      <c r="M607" s="243"/>
      <c r="N607" s="265"/>
      <c r="O607" s="265"/>
      <c r="P607" s="265"/>
      <c r="Q607" s="266"/>
      <c r="R607" s="243"/>
    </row>
    <row r="608" spans="3:18" customFormat="1" x14ac:dyDescent="0.25">
      <c r="C608" s="243"/>
      <c r="D608" s="45"/>
      <c r="E608" s="45"/>
      <c r="F608" s="45"/>
      <c r="G608" s="45"/>
      <c r="H608" s="45"/>
      <c r="I608" s="265"/>
      <c r="J608" s="265"/>
      <c r="K608" s="45"/>
      <c r="L608" s="243"/>
      <c r="M608" s="243"/>
      <c r="N608" s="265"/>
      <c r="O608" s="265"/>
      <c r="P608" s="265"/>
      <c r="Q608" s="266"/>
      <c r="R608" s="243"/>
    </row>
    <row r="609" spans="3:18" customFormat="1" x14ac:dyDescent="0.25">
      <c r="C609" s="243"/>
      <c r="D609" s="45"/>
      <c r="E609" s="45"/>
      <c r="F609" s="45"/>
      <c r="G609" s="45"/>
      <c r="H609" s="45"/>
      <c r="I609" s="265"/>
      <c r="J609" s="265"/>
      <c r="K609" s="45"/>
      <c r="L609" s="243"/>
      <c r="M609" s="243"/>
      <c r="N609" s="265"/>
      <c r="O609" s="265"/>
      <c r="P609" s="265"/>
      <c r="Q609" s="266"/>
      <c r="R609" s="243"/>
    </row>
    <row r="610" spans="3:18" customFormat="1" x14ac:dyDescent="0.25">
      <c r="C610" s="243"/>
      <c r="D610" s="45"/>
      <c r="E610" s="45"/>
      <c r="F610" s="45"/>
      <c r="G610" s="45"/>
      <c r="H610" s="45"/>
      <c r="I610" s="265"/>
      <c r="J610" s="265"/>
      <c r="K610" s="45"/>
      <c r="L610" s="243"/>
      <c r="M610" s="243"/>
      <c r="N610" s="265"/>
      <c r="O610" s="265"/>
      <c r="P610" s="265"/>
      <c r="Q610" s="266"/>
      <c r="R610" s="243"/>
    </row>
    <row r="611" spans="3:18" customFormat="1" x14ac:dyDescent="0.25">
      <c r="C611" s="243"/>
      <c r="D611" s="45"/>
      <c r="E611" s="45"/>
      <c r="F611" s="45"/>
      <c r="G611" s="45"/>
      <c r="H611" s="45"/>
      <c r="I611" s="265"/>
      <c r="J611" s="265"/>
      <c r="K611" s="45"/>
      <c r="L611" s="243"/>
      <c r="M611" s="243"/>
      <c r="N611" s="265"/>
      <c r="O611" s="265"/>
      <c r="P611" s="265"/>
      <c r="Q611" s="266"/>
      <c r="R611" s="243"/>
    </row>
    <row r="612" spans="3:18" customFormat="1" x14ac:dyDescent="0.25">
      <c r="C612" s="243"/>
      <c r="D612" s="45"/>
      <c r="E612" s="45"/>
      <c r="F612" s="45"/>
      <c r="G612" s="45"/>
      <c r="H612" s="45"/>
      <c r="I612" s="265"/>
      <c r="J612" s="265"/>
      <c r="K612" s="45"/>
      <c r="L612" s="243"/>
      <c r="M612" s="243"/>
      <c r="N612" s="265"/>
      <c r="O612" s="265"/>
      <c r="P612" s="265"/>
      <c r="Q612" s="266"/>
      <c r="R612" s="243"/>
    </row>
    <row r="613" spans="3:18" customFormat="1" x14ac:dyDescent="0.25">
      <c r="C613" s="243"/>
      <c r="D613" s="45"/>
      <c r="E613" s="45"/>
      <c r="F613" s="45"/>
      <c r="G613" s="45"/>
      <c r="H613" s="45"/>
      <c r="I613" s="265"/>
      <c r="J613" s="265"/>
      <c r="K613" s="45"/>
      <c r="L613" s="243"/>
      <c r="M613" s="243"/>
      <c r="N613" s="265"/>
      <c r="O613" s="265"/>
      <c r="P613" s="265"/>
      <c r="Q613" s="266"/>
      <c r="R613" s="243"/>
    </row>
    <row r="614" spans="3:18" customFormat="1" x14ac:dyDescent="0.25">
      <c r="C614" s="243"/>
      <c r="D614" s="45"/>
      <c r="E614" s="45"/>
      <c r="F614" s="45"/>
      <c r="G614" s="45"/>
      <c r="H614" s="45"/>
      <c r="I614" s="265"/>
      <c r="J614" s="265"/>
      <c r="K614" s="45"/>
      <c r="L614" s="243"/>
      <c r="M614" s="243"/>
      <c r="N614" s="265"/>
      <c r="O614" s="265"/>
      <c r="P614" s="265"/>
      <c r="Q614" s="266"/>
      <c r="R614" s="243"/>
    </row>
    <row r="615" spans="3:18" customFormat="1" x14ac:dyDescent="0.25">
      <c r="C615" s="243"/>
      <c r="D615" s="45"/>
      <c r="E615" s="45"/>
      <c r="F615" s="45"/>
      <c r="G615" s="45"/>
      <c r="H615" s="45"/>
      <c r="I615" s="265"/>
      <c r="J615" s="265"/>
      <c r="K615" s="45"/>
      <c r="L615" s="243"/>
      <c r="M615" s="243"/>
      <c r="N615" s="265"/>
      <c r="O615" s="265"/>
      <c r="P615" s="265"/>
      <c r="Q615" s="266"/>
      <c r="R615" s="243"/>
    </row>
    <row r="616" spans="3:18" customFormat="1" x14ac:dyDescent="0.25">
      <c r="C616" s="243"/>
      <c r="D616" s="45"/>
      <c r="E616" s="45"/>
      <c r="F616" s="45"/>
      <c r="G616" s="45"/>
      <c r="H616" s="45"/>
      <c r="I616" s="265"/>
      <c r="J616" s="265"/>
      <c r="K616" s="45"/>
      <c r="L616" s="243"/>
      <c r="M616" s="243"/>
      <c r="N616" s="265"/>
      <c r="O616" s="265"/>
      <c r="P616" s="265"/>
      <c r="Q616" s="266"/>
      <c r="R616" s="243"/>
    </row>
    <row r="617" spans="3:18" customFormat="1" x14ac:dyDescent="0.25">
      <c r="C617" s="243"/>
      <c r="D617" s="45"/>
      <c r="E617" s="45"/>
      <c r="F617" s="45"/>
      <c r="G617" s="45"/>
      <c r="H617" s="45"/>
      <c r="I617" s="265"/>
      <c r="J617" s="265"/>
      <c r="K617" s="45"/>
      <c r="L617" s="243"/>
      <c r="M617" s="243"/>
      <c r="N617" s="265"/>
      <c r="O617" s="265"/>
      <c r="P617" s="265"/>
      <c r="Q617" s="266"/>
      <c r="R617" s="243"/>
    </row>
    <row r="618" spans="3:18" customFormat="1" x14ac:dyDescent="0.25">
      <c r="C618" s="243"/>
      <c r="D618" s="45"/>
      <c r="E618" s="45"/>
      <c r="F618" s="45"/>
      <c r="G618" s="45"/>
      <c r="H618" s="45"/>
      <c r="I618" s="265"/>
      <c r="J618" s="265"/>
      <c r="K618" s="45"/>
      <c r="L618" s="243"/>
      <c r="M618" s="243"/>
      <c r="N618" s="265"/>
      <c r="O618" s="265"/>
      <c r="P618" s="265"/>
      <c r="Q618" s="266"/>
      <c r="R618" s="243"/>
    </row>
    <row r="619" spans="3:18" customFormat="1" x14ac:dyDescent="0.25">
      <c r="C619" s="243"/>
      <c r="D619" s="45"/>
      <c r="E619" s="45"/>
      <c r="F619" s="45"/>
      <c r="G619" s="45"/>
      <c r="H619" s="45"/>
      <c r="I619" s="265"/>
      <c r="J619" s="265"/>
      <c r="K619" s="45"/>
      <c r="L619" s="243"/>
      <c r="M619" s="243"/>
      <c r="N619" s="265"/>
      <c r="O619" s="265"/>
      <c r="P619" s="265"/>
      <c r="Q619" s="266"/>
      <c r="R619" s="243"/>
    </row>
    <row r="620" spans="3:18" customFormat="1" x14ac:dyDescent="0.25">
      <c r="C620" s="243"/>
      <c r="D620" s="45"/>
      <c r="E620" s="45"/>
      <c r="F620" s="45"/>
      <c r="G620" s="45"/>
      <c r="H620" s="45"/>
      <c r="I620" s="265"/>
      <c r="J620" s="265"/>
      <c r="K620" s="45"/>
      <c r="L620" s="243"/>
      <c r="M620" s="243"/>
      <c r="N620" s="265"/>
      <c r="O620" s="265"/>
      <c r="P620" s="265"/>
      <c r="Q620" s="266"/>
      <c r="R620" s="243"/>
    </row>
    <row r="621" spans="3:18" customFormat="1" x14ac:dyDescent="0.25">
      <c r="C621" s="243"/>
      <c r="D621" s="45"/>
      <c r="E621" s="45"/>
      <c r="F621" s="45"/>
      <c r="G621" s="45"/>
      <c r="H621" s="45"/>
      <c r="I621" s="265"/>
      <c r="J621" s="265"/>
      <c r="K621" s="45"/>
      <c r="L621" s="243"/>
      <c r="M621" s="243"/>
      <c r="N621" s="265"/>
      <c r="O621" s="265"/>
      <c r="P621" s="265"/>
      <c r="Q621" s="266"/>
      <c r="R621" s="243"/>
    </row>
    <row r="622" spans="3:18" customFormat="1" x14ac:dyDescent="0.25">
      <c r="C622" s="243"/>
      <c r="D622" s="45"/>
      <c r="E622" s="45"/>
      <c r="F622" s="45"/>
      <c r="G622" s="45"/>
      <c r="H622" s="45"/>
      <c r="I622" s="265"/>
      <c r="J622" s="265"/>
      <c r="K622" s="45"/>
      <c r="L622" s="243"/>
      <c r="M622" s="243"/>
      <c r="N622" s="265"/>
      <c r="O622" s="265"/>
      <c r="P622" s="265"/>
      <c r="Q622" s="266"/>
      <c r="R622" s="243"/>
    </row>
    <row r="623" spans="3:18" customFormat="1" x14ac:dyDescent="0.25">
      <c r="C623" s="243"/>
      <c r="D623" s="45"/>
      <c r="E623" s="45"/>
      <c r="F623" s="45"/>
      <c r="G623" s="45"/>
      <c r="H623" s="45"/>
      <c r="I623" s="265"/>
      <c r="J623" s="265"/>
      <c r="K623" s="45"/>
      <c r="L623" s="243"/>
      <c r="M623" s="243"/>
      <c r="N623" s="265"/>
      <c r="O623" s="265"/>
      <c r="P623" s="265"/>
      <c r="Q623" s="266"/>
      <c r="R623" s="243"/>
    </row>
    <row r="624" spans="3:18" customFormat="1" x14ac:dyDescent="0.25">
      <c r="C624" s="243"/>
      <c r="D624" s="45"/>
      <c r="E624" s="45"/>
      <c r="F624" s="45"/>
      <c r="G624" s="45"/>
      <c r="H624" s="45"/>
      <c r="I624" s="265"/>
      <c r="J624" s="265"/>
      <c r="K624" s="45"/>
      <c r="L624" s="243"/>
      <c r="M624" s="243"/>
      <c r="N624" s="265"/>
      <c r="O624" s="265"/>
      <c r="P624" s="265"/>
      <c r="Q624" s="266"/>
      <c r="R624" s="243"/>
    </row>
    <row r="625" spans="3:18" customFormat="1" x14ac:dyDescent="0.25">
      <c r="C625" s="243"/>
      <c r="D625" s="45"/>
      <c r="E625" s="45"/>
      <c r="F625" s="45"/>
      <c r="G625" s="45"/>
      <c r="H625" s="45"/>
      <c r="I625" s="265"/>
      <c r="J625" s="265"/>
      <c r="K625" s="45"/>
      <c r="L625" s="243"/>
      <c r="M625" s="243"/>
      <c r="N625" s="265"/>
      <c r="O625" s="265"/>
      <c r="P625" s="265"/>
      <c r="Q625" s="266"/>
      <c r="R625" s="243"/>
    </row>
    <row r="626" spans="3:18" customFormat="1" x14ac:dyDescent="0.25">
      <c r="C626" s="243"/>
      <c r="D626" s="45"/>
      <c r="E626" s="45"/>
      <c r="F626" s="45"/>
      <c r="G626" s="45"/>
      <c r="H626" s="45"/>
      <c r="I626" s="265"/>
      <c r="J626" s="265"/>
      <c r="K626" s="45"/>
      <c r="L626" s="243"/>
      <c r="M626" s="243"/>
      <c r="N626" s="265"/>
      <c r="O626" s="265"/>
      <c r="P626" s="265"/>
      <c r="Q626" s="266"/>
      <c r="R626" s="243"/>
    </row>
    <row r="627" spans="3:18" customFormat="1" x14ac:dyDescent="0.25">
      <c r="C627" s="243"/>
      <c r="D627" s="45"/>
      <c r="E627" s="45"/>
      <c r="F627" s="45"/>
      <c r="G627" s="45"/>
      <c r="H627" s="45"/>
      <c r="I627" s="265"/>
      <c r="J627" s="265"/>
      <c r="K627" s="45"/>
      <c r="L627" s="243"/>
      <c r="M627" s="243"/>
      <c r="N627" s="265"/>
      <c r="O627" s="265"/>
      <c r="P627" s="265"/>
      <c r="Q627" s="266"/>
      <c r="R627" s="243"/>
    </row>
    <row r="628" spans="3:18" customFormat="1" x14ac:dyDescent="0.25">
      <c r="C628" s="243"/>
      <c r="D628" s="45"/>
      <c r="E628" s="45"/>
      <c r="F628" s="45"/>
      <c r="G628" s="45"/>
      <c r="H628" s="45"/>
      <c r="I628" s="265"/>
      <c r="J628" s="265"/>
      <c r="K628" s="45"/>
      <c r="L628" s="243"/>
      <c r="M628" s="243"/>
      <c r="N628" s="265"/>
      <c r="O628" s="265"/>
      <c r="P628" s="265"/>
      <c r="Q628" s="266"/>
      <c r="R628" s="243"/>
    </row>
    <row r="629" spans="3:18" customFormat="1" x14ac:dyDescent="0.25">
      <c r="C629" s="243"/>
      <c r="D629" s="45"/>
      <c r="E629" s="45"/>
      <c r="F629" s="45"/>
      <c r="G629" s="45"/>
      <c r="H629" s="45"/>
      <c r="I629" s="265"/>
      <c r="J629" s="265"/>
      <c r="K629" s="45"/>
      <c r="L629" s="243"/>
      <c r="M629" s="243"/>
      <c r="N629" s="265"/>
      <c r="O629" s="265"/>
      <c r="P629" s="265"/>
      <c r="Q629" s="266"/>
      <c r="R629" s="243"/>
    </row>
    <row r="630" spans="3:18" customFormat="1" x14ac:dyDescent="0.25">
      <c r="C630" s="243"/>
      <c r="D630" s="45"/>
      <c r="E630" s="45"/>
      <c r="F630" s="45"/>
      <c r="G630" s="45"/>
      <c r="H630" s="45"/>
      <c r="I630" s="265"/>
      <c r="J630" s="265"/>
      <c r="K630" s="45"/>
      <c r="L630" s="243"/>
      <c r="M630" s="243"/>
      <c r="N630" s="265"/>
      <c r="O630" s="265"/>
      <c r="P630" s="265"/>
      <c r="Q630" s="266"/>
      <c r="R630" s="243"/>
    </row>
    <row r="631" spans="3:18" customFormat="1" x14ac:dyDescent="0.25">
      <c r="C631" s="243"/>
      <c r="D631" s="45"/>
      <c r="E631" s="45"/>
      <c r="F631" s="45"/>
      <c r="G631" s="45"/>
      <c r="H631" s="45"/>
      <c r="I631" s="265"/>
      <c r="J631" s="265"/>
      <c r="K631" s="45"/>
      <c r="L631" s="243"/>
      <c r="M631" s="243"/>
      <c r="N631" s="265"/>
      <c r="O631" s="265"/>
      <c r="P631" s="265"/>
      <c r="Q631" s="266"/>
      <c r="R631" s="243"/>
    </row>
    <row r="632" spans="3:18" customFormat="1" x14ac:dyDescent="0.25">
      <c r="C632" s="243"/>
      <c r="D632" s="45"/>
      <c r="E632" s="45"/>
      <c r="F632" s="45"/>
      <c r="G632" s="45"/>
      <c r="H632" s="45"/>
      <c r="I632" s="265"/>
      <c r="J632" s="265"/>
      <c r="K632" s="45"/>
      <c r="L632" s="243"/>
      <c r="M632" s="243"/>
      <c r="N632" s="265"/>
      <c r="O632" s="265"/>
      <c r="P632" s="265"/>
      <c r="Q632" s="266"/>
      <c r="R632" s="243"/>
    </row>
    <row r="633" spans="3:18" customFormat="1" x14ac:dyDescent="0.25">
      <c r="C633" s="243"/>
      <c r="D633" s="45"/>
      <c r="E633" s="45"/>
      <c r="F633" s="45"/>
      <c r="G633" s="45"/>
      <c r="H633" s="45"/>
      <c r="I633" s="265"/>
      <c r="J633" s="265"/>
      <c r="K633" s="45"/>
      <c r="L633" s="243"/>
      <c r="M633" s="243"/>
      <c r="N633" s="265"/>
      <c r="O633" s="265"/>
      <c r="P633" s="265"/>
      <c r="Q633" s="266"/>
      <c r="R633" s="243"/>
    </row>
    <row r="634" spans="3:18" customFormat="1" x14ac:dyDescent="0.25">
      <c r="C634" s="243"/>
      <c r="D634" s="45"/>
      <c r="E634" s="45"/>
      <c r="F634" s="45"/>
      <c r="G634" s="45"/>
      <c r="H634" s="45"/>
      <c r="I634" s="265"/>
      <c r="J634" s="265"/>
      <c r="K634" s="45"/>
      <c r="L634" s="243"/>
      <c r="M634" s="243"/>
      <c r="N634" s="265"/>
      <c r="O634" s="265"/>
      <c r="P634" s="265"/>
      <c r="Q634" s="266"/>
      <c r="R634" s="243"/>
    </row>
    <row r="635" spans="3:18" customFormat="1" x14ac:dyDescent="0.25">
      <c r="C635" s="243"/>
      <c r="D635" s="45"/>
      <c r="E635" s="45"/>
      <c r="F635" s="45"/>
      <c r="G635" s="45"/>
      <c r="H635" s="45"/>
      <c r="I635" s="265"/>
      <c r="J635" s="265"/>
      <c r="K635" s="45"/>
      <c r="L635" s="243"/>
      <c r="M635" s="243"/>
      <c r="N635" s="265"/>
      <c r="O635" s="265"/>
      <c r="P635" s="265"/>
      <c r="Q635" s="266"/>
      <c r="R635" s="243"/>
    </row>
    <row r="636" spans="3:18" customFormat="1" x14ac:dyDescent="0.25">
      <c r="C636" s="243"/>
      <c r="D636" s="45"/>
      <c r="E636" s="45"/>
      <c r="F636" s="45"/>
      <c r="G636" s="45"/>
      <c r="H636" s="45"/>
      <c r="I636" s="265"/>
      <c r="J636" s="265"/>
      <c r="K636" s="45"/>
      <c r="L636" s="243"/>
      <c r="M636" s="243"/>
      <c r="N636" s="265"/>
      <c r="O636" s="265"/>
      <c r="P636" s="265"/>
      <c r="Q636" s="266"/>
      <c r="R636" s="243"/>
    </row>
    <row r="637" spans="3:18" customFormat="1" x14ac:dyDescent="0.25">
      <c r="C637" s="243"/>
      <c r="D637" s="45"/>
      <c r="E637" s="45"/>
      <c r="F637" s="45"/>
      <c r="G637" s="45"/>
      <c r="H637" s="45"/>
      <c r="I637" s="265"/>
      <c r="J637" s="265"/>
      <c r="K637" s="45"/>
      <c r="L637" s="243"/>
      <c r="M637" s="243"/>
      <c r="N637" s="265"/>
      <c r="O637" s="265"/>
      <c r="P637" s="265"/>
      <c r="Q637" s="266"/>
      <c r="R637" s="243"/>
    </row>
    <row r="638" spans="3:18" customFormat="1" x14ac:dyDescent="0.25">
      <c r="C638" s="243"/>
      <c r="D638" s="45"/>
      <c r="E638" s="45"/>
      <c r="F638" s="45"/>
      <c r="G638" s="45"/>
      <c r="H638" s="45"/>
      <c r="I638" s="265"/>
      <c r="J638" s="265"/>
      <c r="K638" s="45"/>
      <c r="L638" s="243"/>
      <c r="M638" s="243"/>
      <c r="N638" s="265"/>
      <c r="O638" s="265"/>
      <c r="P638" s="265"/>
      <c r="Q638" s="266"/>
      <c r="R638" s="243"/>
    </row>
    <row r="639" spans="3:18" customFormat="1" x14ac:dyDescent="0.25">
      <c r="C639" s="243"/>
      <c r="D639" s="45"/>
      <c r="E639" s="45"/>
      <c r="F639" s="45"/>
      <c r="G639" s="45"/>
      <c r="H639" s="45"/>
      <c r="I639" s="265"/>
      <c r="J639" s="265"/>
      <c r="K639" s="45"/>
      <c r="L639" s="243"/>
      <c r="M639" s="243"/>
      <c r="N639" s="265"/>
      <c r="O639" s="265"/>
      <c r="P639" s="265"/>
      <c r="Q639" s="266"/>
      <c r="R639" s="243"/>
    </row>
    <row r="640" spans="3:18" customFormat="1" x14ac:dyDescent="0.25">
      <c r="C640" s="243"/>
      <c r="D640" s="45"/>
      <c r="E640" s="45"/>
      <c r="F640" s="45"/>
      <c r="G640" s="45"/>
      <c r="H640" s="45"/>
      <c r="I640" s="265"/>
      <c r="J640" s="265"/>
      <c r="K640" s="45"/>
      <c r="L640" s="243"/>
      <c r="M640" s="243"/>
      <c r="N640" s="265"/>
      <c r="O640" s="265"/>
      <c r="P640" s="265"/>
      <c r="Q640" s="266"/>
      <c r="R640" s="243"/>
    </row>
    <row r="641" spans="3:18" customFormat="1" x14ac:dyDescent="0.25">
      <c r="C641" s="243"/>
      <c r="D641" s="45"/>
      <c r="E641" s="45"/>
      <c r="F641" s="45"/>
      <c r="G641" s="45"/>
      <c r="H641" s="45"/>
      <c r="I641" s="265"/>
      <c r="J641" s="265"/>
      <c r="K641" s="45"/>
      <c r="L641" s="243"/>
      <c r="M641" s="243"/>
      <c r="N641" s="265"/>
      <c r="O641" s="265"/>
      <c r="P641" s="265"/>
      <c r="Q641" s="266"/>
      <c r="R641" s="243"/>
    </row>
    <row r="642" spans="3:18" customFormat="1" x14ac:dyDescent="0.25">
      <c r="C642" s="243"/>
      <c r="D642" s="45"/>
      <c r="E642" s="45"/>
      <c r="F642" s="45"/>
      <c r="G642" s="45"/>
      <c r="H642" s="45"/>
      <c r="I642" s="265"/>
      <c r="J642" s="265"/>
      <c r="K642" s="45"/>
      <c r="L642" s="243"/>
      <c r="M642" s="243"/>
      <c r="N642" s="265"/>
      <c r="O642" s="265"/>
      <c r="P642" s="265"/>
      <c r="Q642" s="266"/>
      <c r="R642" s="243"/>
    </row>
    <row r="643" spans="3:18" customFormat="1" x14ac:dyDescent="0.25">
      <c r="C643" s="243"/>
      <c r="D643" s="45"/>
      <c r="E643" s="45"/>
      <c r="F643" s="45"/>
      <c r="G643" s="45"/>
      <c r="H643" s="45"/>
      <c r="I643" s="265"/>
      <c r="J643" s="265"/>
      <c r="K643" s="45"/>
      <c r="L643" s="243"/>
      <c r="M643" s="243"/>
      <c r="N643" s="265"/>
      <c r="O643" s="265"/>
      <c r="P643" s="265"/>
      <c r="Q643" s="266"/>
      <c r="R643" s="243"/>
    </row>
    <row r="644" spans="3:18" customFormat="1" x14ac:dyDescent="0.25">
      <c r="C644" s="243"/>
      <c r="D644" s="45"/>
      <c r="E644" s="45"/>
      <c r="F644" s="45"/>
      <c r="G644" s="45"/>
      <c r="H644" s="45"/>
      <c r="I644" s="265"/>
      <c r="J644" s="265"/>
      <c r="K644" s="45"/>
      <c r="L644" s="243"/>
      <c r="M644" s="243"/>
      <c r="N644" s="265"/>
      <c r="O644" s="265"/>
      <c r="P644" s="265"/>
      <c r="Q644" s="266"/>
      <c r="R644" s="243"/>
    </row>
    <row r="645" spans="3:18" customFormat="1" x14ac:dyDescent="0.25">
      <c r="C645" s="243"/>
      <c r="D645" s="45"/>
      <c r="E645" s="45"/>
      <c r="F645" s="45"/>
      <c r="G645" s="45"/>
      <c r="H645" s="45"/>
      <c r="I645" s="265"/>
      <c r="J645" s="265"/>
      <c r="K645" s="45"/>
      <c r="L645" s="243"/>
      <c r="M645" s="243"/>
      <c r="N645" s="265"/>
      <c r="O645" s="265"/>
      <c r="P645" s="265"/>
      <c r="Q645" s="266"/>
      <c r="R645" s="243"/>
    </row>
    <row r="646" spans="3:18" customFormat="1" x14ac:dyDescent="0.25">
      <c r="C646" s="243"/>
      <c r="D646" s="45"/>
      <c r="E646" s="45"/>
      <c r="F646" s="45"/>
      <c r="G646" s="45"/>
      <c r="H646" s="45"/>
      <c r="I646" s="265"/>
      <c r="J646" s="265"/>
      <c r="K646" s="45"/>
      <c r="L646" s="243"/>
      <c r="M646" s="243"/>
      <c r="N646" s="265"/>
      <c r="O646" s="265"/>
      <c r="P646" s="265"/>
      <c r="Q646" s="266"/>
      <c r="R646" s="243"/>
    </row>
    <row r="647" spans="3:18" customFormat="1" x14ac:dyDescent="0.25">
      <c r="C647" s="243"/>
      <c r="D647" s="45"/>
      <c r="E647" s="45"/>
      <c r="F647" s="45"/>
      <c r="G647" s="45"/>
      <c r="H647" s="45"/>
      <c r="I647" s="265"/>
      <c r="J647" s="265"/>
      <c r="K647" s="45"/>
      <c r="L647" s="243"/>
      <c r="M647" s="243"/>
      <c r="N647" s="265"/>
      <c r="O647" s="265"/>
      <c r="P647" s="265"/>
      <c r="Q647" s="266"/>
      <c r="R647" s="243"/>
    </row>
    <row r="648" spans="3:18" customFormat="1" x14ac:dyDescent="0.25">
      <c r="C648" s="243"/>
      <c r="D648" s="45"/>
      <c r="E648" s="45"/>
      <c r="F648" s="45"/>
      <c r="G648" s="45"/>
      <c r="H648" s="45"/>
      <c r="I648" s="265"/>
      <c r="J648" s="265"/>
      <c r="K648" s="45"/>
      <c r="L648" s="243"/>
      <c r="M648" s="243"/>
      <c r="N648" s="265"/>
      <c r="O648" s="265"/>
      <c r="P648" s="265"/>
      <c r="Q648" s="266"/>
      <c r="R648" s="243"/>
    </row>
    <row r="649" spans="3:18" customFormat="1" x14ac:dyDescent="0.25">
      <c r="C649" s="243"/>
      <c r="D649" s="45"/>
      <c r="E649" s="45"/>
      <c r="F649" s="45"/>
      <c r="G649" s="45"/>
      <c r="H649" s="45"/>
      <c r="I649" s="265"/>
      <c r="J649" s="265"/>
      <c r="K649" s="45"/>
      <c r="L649" s="243"/>
      <c r="M649" s="243"/>
      <c r="N649" s="265"/>
      <c r="O649" s="265"/>
      <c r="P649" s="265"/>
      <c r="Q649" s="266"/>
      <c r="R649" s="243"/>
    </row>
    <row r="650" spans="3:18" customFormat="1" x14ac:dyDescent="0.25">
      <c r="C650" s="243"/>
      <c r="D650" s="45"/>
      <c r="E650" s="45"/>
      <c r="F650" s="45"/>
      <c r="G650" s="45"/>
      <c r="H650" s="45"/>
      <c r="I650" s="265"/>
      <c r="J650" s="265"/>
      <c r="K650" s="45"/>
      <c r="L650" s="243"/>
      <c r="M650" s="243"/>
      <c r="N650" s="265"/>
      <c r="O650" s="265"/>
      <c r="P650" s="265"/>
      <c r="Q650" s="266"/>
      <c r="R650" s="243"/>
    </row>
    <row r="651" spans="3:18" customFormat="1" x14ac:dyDescent="0.25">
      <c r="C651" s="243"/>
      <c r="D651" s="45"/>
      <c r="E651" s="45"/>
      <c r="F651" s="45"/>
      <c r="G651" s="45"/>
      <c r="H651" s="45"/>
      <c r="I651" s="265"/>
      <c r="J651" s="265"/>
      <c r="K651" s="45"/>
      <c r="L651" s="243"/>
      <c r="M651" s="243"/>
      <c r="N651" s="265"/>
      <c r="O651" s="265"/>
      <c r="P651" s="265"/>
      <c r="Q651" s="266"/>
      <c r="R651" s="243"/>
    </row>
    <row r="652" spans="3:18" customFormat="1" x14ac:dyDescent="0.25">
      <c r="C652" s="243"/>
      <c r="D652" s="45"/>
      <c r="E652" s="45"/>
      <c r="F652" s="45"/>
      <c r="G652" s="45"/>
      <c r="H652" s="45"/>
      <c r="I652" s="265"/>
      <c r="J652" s="265"/>
      <c r="K652" s="45"/>
      <c r="L652" s="243"/>
      <c r="M652" s="243"/>
      <c r="N652" s="265"/>
      <c r="O652" s="265"/>
      <c r="P652" s="265"/>
      <c r="Q652" s="266"/>
      <c r="R652" s="243"/>
    </row>
    <row r="653" spans="3:18" customFormat="1" x14ac:dyDescent="0.25">
      <c r="C653" s="243"/>
      <c r="D653" s="45"/>
      <c r="E653" s="45"/>
      <c r="F653" s="45"/>
      <c r="G653" s="45"/>
      <c r="H653" s="45"/>
      <c r="I653" s="265"/>
      <c r="J653" s="265"/>
      <c r="K653" s="45"/>
      <c r="L653" s="243"/>
      <c r="M653" s="243"/>
      <c r="N653" s="265"/>
      <c r="O653" s="265"/>
      <c r="P653" s="265"/>
      <c r="Q653" s="266"/>
      <c r="R653" s="243"/>
    </row>
    <row r="654" spans="3:18" customFormat="1" x14ac:dyDescent="0.25">
      <c r="C654" s="243"/>
      <c r="D654" s="45"/>
      <c r="E654" s="45"/>
      <c r="F654" s="45"/>
      <c r="G654" s="45"/>
      <c r="H654" s="45"/>
      <c r="I654" s="265"/>
      <c r="J654" s="265"/>
      <c r="K654" s="45"/>
      <c r="L654" s="243"/>
      <c r="M654" s="243"/>
      <c r="N654" s="265"/>
      <c r="O654" s="265"/>
      <c r="P654" s="265"/>
      <c r="Q654" s="266"/>
      <c r="R654" s="243"/>
    </row>
    <row r="655" spans="3:18" customFormat="1" x14ac:dyDescent="0.25">
      <c r="C655" s="243"/>
      <c r="D655" s="45"/>
      <c r="E655" s="45"/>
      <c r="F655" s="45"/>
      <c r="G655" s="45"/>
      <c r="H655" s="45"/>
      <c r="I655" s="265"/>
      <c r="J655" s="265"/>
      <c r="K655" s="45"/>
      <c r="L655" s="243"/>
      <c r="M655" s="243"/>
      <c r="N655" s="265"/>
      <c r="O655" s="265"/>
      <c r="P655" s="265"/>
      <c r="Q655" s="266"/>
      <c r="R655" s="243"/>
    </row>
    <row r="656" spans="3:18" customFormat="1" x14ac:dyDescent="0.25">
      <c r="C656" s="243"/>
      <c r="D656" s="45"/>
      <c r="E656" s="45"/>
      <c r="F656" s="45"/>
      <c r="G656" s="45"/>
      <c r="H656" s="45"/>
      <c r="I656" s="265"/>
      <c r="J656" s="265"/>
      <c r="K656" s="45"/>
      <c r="L656" s="243"/>
      <c r="M656" s="243"/>
      <c r="N656" s="265"/>
      <c r="O656" s="265"/>
      <c r="P656" s="265"/>
      <c r="Q656" s="266"/>
      <c r="R656" s="243"/>
    </row>
    <row r="657" spans="3:18" customFormat="1" x14ac:dyDescent="0.25">
      <c r="C657" s="243"/>
      <c r="D657" s="45"/>
      <c r="E657" s="45"/>
      <c r="F657" s="45"/>
      <c r="G657" s="45"/>
      <c r="H657" s="45"/>
      <c r="I657" s="265"/>
      <c r="J657" s="265"/>
      <c r="K657" s="45"/>
      <c r="L657" s="243"/>
      <c r="M657" s="243"/>
      <c r="N657" s="265"/>
      <c r="O657" s="265"/>
      <c r="P657" s="265"/>
      <c r="Q657" s="266"/>
      <c r="R657" s="243"/>
    </row>
    <row r="658" spans="3:18" customFormat="1" x14ac:dyDescent="0.25">
      <c r="C658" s="243"/>
      <c r="D658" s="45"/>
      <c r="E658" s="45"/>
      <c r="F658" s="45"/>
      <c r="G658" s="45"/>
      <c r="H658" s="45"/>
      <c r="I658" s="265"/>
      <c r="J658" s="265"/>
      <c r="K658" s="45"/>
      <c r="L658" s="243"/>
      <c r="M658" s="243"/>
      <c r="N658" s="265"/>
      <c r="O658" s="265"/>
      <c r="P658" s="265"/>
      <c r="Q658" s="266"/>
      <c r="R658" s="243"/>
    </row>
    <row r="659" spans="3:18" customFormat="1" x14ac:dyDescent="0.25">
      <c r="C659" s="243"/>
      <c r="D659" s="45"/>
      <c r="E659" s="45"/>
      <c r="F659" s="45"/>
      <c r="G659" s="45"/>
      <c r="H659" s="45"/>
      <c r="I659" s="265"/>
      <c r="J659" s="265"/>
      <c r="K659" s="45"/>
      <c r="L659" s="243"/>
      <c r="M659" s="243"/>
      <c r="N659" s="265"/>
      <c r="O659" s="265"/>
      <c r="P659" s="265"/>
      <c r="Q659" s="266"/>
      <c r="R659" s="243"/>
    </row>
    <row r="660" spans="3:18" customFormat="1" x14ac:dyDescent="0.25">
      <c r="C660" s="243"/>
      <c r="D660" s="45"/>
      <c r="E660" s="45"/>
      <c r="F660" s="45"/>
      <c r="G660" s="45"/>
      <c r="H660" s="45"/>
      <c r="I660" s="265"/>
      <c r="J660" s="265"/>
      <c r="K660" s="45"/>
      <c r="L660" s="243"/>
      <c r="M660" s="243"/>
      <c r="N660" s="265"/>
      <c r="O660" s="265"/>
      <c r="P660" s="265"/>
      <c r="Q660" s="266"/>
      <c r="R660" s="243"/>
    </row>
    <row r="661" spans="3:18" customFormat="1" x14ac:dyDescent="0.25">
      <c r="C661" s="243"/>
      <c r="D661" s="45"/>
      <c r="E661" s="45"/>
      <c r="F661" s="45"/>
      <c r="G661" s="45"/>
      <c r="H661" s="45"/>
      <c r="I661" s="265"/>
      <c r="J661" s="265"/>
      <c r="K661" s="45"/>
      <c r="L661" s="243"/>
      <c r="M661" s="243"/>
      <c r="N661" s="265"/>
      <c r="O661" s="265"/>
      <c r="P661" s="265"/>
      <c r="Q661" s="266"/>
      <c r="R661" s="243"/>
    </row>
    <row r="662" spans="3:18" customFormat="1" x14ac:dyDescent="0.25">
      <c r="C662" s="243"/>
      <c r="D662" s="45"/>
      <c r="E662" s="45"/>
      <c r="F662" s="45"/>
      <c r="G662" s="45"/>
      <c r="H662" s="45"/>
      <c r="I662" s="265"/>
      <c r="J662" s="265"/>
      <c r="K662" s="45"/>
      <c r="L662" s="243"/>
      <c r="M662" s="243"/>
      <c r="N662" s="265"/>
      <c r="O662" s="265"/>
      <c r="P662" s="265"/>
      <c r="Q662" s="266"/>
      <c r="R662" s="243"/>
    </row>
    <row r="663" spans="3:18" customFormat="1" x14ac:dyDescent="0.25">
      <c r="C663" s="243"/>
      <c r="D663" s="45"/>
      <c r="E663" s="45"/>
      <c r="F663" s="45"/>
      <c r="G663" s="45"/>
      <c r="H663" s="45"/>
      <c r="I663" s="265"/>
      <c r="J663" s="265"/>
      <c r="K663" s="45"/>
      <c r="L663" s="243"/>
      <c r="M663" s="243"/>
      <c r="N663" s="265"/>
      <c r="O663" s="265"/>
      <c r="P663" s="265"/>
      <c r="Q663" s="266"/>
      <c r="R663" s="243"/>
    </row>
    <row r="664" spans="3:18" customFormat="1" x14ac:dyDescent="0.25">
      <c r="C664" s="243"/>
      <c r="D664" s="45"/>
      <c r="E664" s="45"/>
      <c r="F664" s="45"/>
      <c r="G664" s="45"/>
      <c r="H664" s="45"/>
      <c r="I664" s="265"/>
      <c r="J664" s="265"/>
      <c r="K664" s="45"/>
      <c r="L664" s="243"/>
      <c r="M664" s="243"/>
      <c r="N664" s="265"/>
      <c r="O664" s="265"/>
      <c r="P664" s="265"/>
      <c r="Q664" s="266"/>
      <c r="R664" s="243"/>
    </row>
    <row r="665" spans="3:18" customFormat="1" x14ac:dyDescent="0.25">
      <c r="C665" s="243"/>
      <c r="D665" s="45"/>
      <c r="E665" s="45"/>
      <c r="F665" s="45"/>
      <c r="G665" s="45"/>
      <c r="H665" s="45"/>
      <c r="I665" s="265"/>
      <c r="J665" s="265"/>
      <c r="K665" s="45"/>
      <c r="L665" s="243"/>
      <c r="M665" s="243"/>
      <c r="N665" s="265"/>
      <c r="O665" s="265"/>
      <c r="P665" s="265"/>
      <c r="Q665" s="266"/>
      <c r="R665" s="243"/>
    </row>
    <row r="666" spans="3:18" customFormat="1" x14ac:dyDescent="0.25">
      <c r="C666" s="243"/>
      <c r="D666" s="45"/>
      <c r="E666" s="45"/>
      <c r="F666" s="45"/>
      <c r="G666" s="45"/>
      <c r="H666" s="45"/>
      <c r="I666" s="265"/>
      <c r="J666" s="265"/>
      <c r="K666" s="45"/>
      <c r="L666" s="243"/>
      <c r="M666" s="243"/>
      <c r="N666" s="265"/>
      <c r="O666" s="265"/>
      <c r="P666" s="265"/>
      <c r="Q666" s="266"/>
      <c r="R666" s="243"/>
    </row>
    <row r="667" spans="3:18" customFormat="1" x14ac:dyDescent="0.25">
      <c r="C667" s="243"/>
      <c r="D667" s="45"/>
      <c r="E667" s="45"/>
      <c r="F667" s="45"/>
      <c r="G667" s="45"/>
      <c r="H667" s="45"/>
      <c r="I667" s="265"/>
      <c r="J667" s="265"/>
      <c r="K667" s="45"/>
      <c r="L667" s="243"/>
      <c r="M667" s="243"/>
      <c r="N667" s="265"/>
      <c r="O667" s="265"/>
      <c r="P667" s="265"/>
      <c r="Q667" s="266"/>
      <c r="R667" s="243"/>
    </row>
    <row r="668" spans="3:18" customFormat="1" x14ac:dyDescent="0.25">
      <c r="C668" s="243"/>
      <c r="D668" s="45"/>
      <c r="E668" s="45"/>
      <c r="F668" s="45"/>
      <c r="G668" s="45"/>
      <c r="H668" s="45"/>
      <c r="I668" s="265"/>
      <c r="J668" s="265"/>
      <c r="K668" s="45"/>
      <c r="L668" s="243"/>
      <c r="M668" s="243"/>
      <c r="N668" s="265"/>
      <c r="O668" s="265"/>
      <c r="P668" s="265"/>
      <c r="Q668" s="266"/>
      <c r="R668" s="243"/>
    </row>
    <row r="669" spans="3:18" customFormat="1" x14ac:dyDescent="0.25">
      <c r="C669" s="243"/>
      <c r="D669" s="45"/>
      <c r="E669" s="45"/>
      <c r="F669" s="45"/>
      <c r="G669" s="45"/>
      <c r="H669" s="45"/>
      <c r="I669" s="265"/>
      <c r="J669" s="265"/>
      <c r="K669" s="45"/>
      <c r="L669" s="243"/>
      <c r="M669" s="243"/>
      <c r="N669" s="265"/>
      <c r="O669" s="265"/>
      <c r="P669" s="265"/>
      <c r="Q669" s="266"/>
      <c r="R669" s="243"/>
    </row>
    <row r="670" spans="3:18" customFormat="1" x14ac:dyDescent="0.25">
      <c r="C670" s="243"/>
      <c r="D670" s="45"/>
      <c r="E670" s="45"/>
      <c r="F670" s="45"/>
      <c r="G670" s="45"/>
      <c r="H670" s="45"/>
      <c r="I670" s="265"/>
      <c r="J670" s="265"/>
      <c r="K670" s="45"/>
      <c r="L670" s="243"/>
      <c r="M670" s="243"/>
      <c r="N670" s="265"/>
      <c r="O670" s="265"/>
      <c r="P670" s="265"/>
      <c r="Q670" s="266"/>
      <c r="R670" s="243"/>
    </row>
    <row r="671" spans="3:18" customFormat="1" x14ac:dyDescent="0.25">
      <c r="C671" s="243"/>
      <c r="D671" s="45"/>
      <c r="E671" s="45"/>
      <c r="F671" s="45"/>
      <c r="G671" s="45"/>
      <c r="H671" s="45"/>
      <c r="I671" s="265"/>
      <c r="J671" s="265"/>
      <c r="K671" s="45"/>
      <c r="L671" s="243"/>
      <c r="M671" s="243"/>
      <c r="N671" s="265"/>
      <c r="O671" s="265"/>
      <c r="P671" s="265"/>
      <c r="Q671" s="266"/>
      <c r="R671" s="243"/>
    </row>
    <row r="672" spans="3:18" customFormat="1" x14ac:dyDescent="0.25">
      <c r="C672" s="243"/>
      <c r="D672" s="45"/>
      <c r="E672" s="45"/>
      <c r="F672" s="45"/>
      <c r="G672" s="45"/>
      <c r="H672" s="45"/>
      <c r="I672" s="265"/>
      <c r="J672" s="265"/>
      <c r="K672" s="45"/>
      <c r="L672" s="243"/>
      <c r="M672" s="243"/>
      <c r="N672" s="265"/>
      <c r="O672" s="265"/>
      <c r="P672" s="265"/>
      <c r="Q672" s="266"/>
      <c r="R672" s="243"/>
    </row>
    <row r="673" spans="3:18" customFormat="1" x14ac:dyDescent="0.25">
      <c r="C673" s="243"/>
      <c r="D673" s="45"/>
      <c r="E673" s="45"/>
      <c r="F673" s="45"/>
      <c r="G673" s="45"/>
      <c r="H673" s="45"/>
      <c r="I673" s="265"/>
      <c r="J673" s="265"/>
      <c r="K673" s="45"/>
      <c r="L673" s="243"/>
      <c r="M673" s="243"/>
      <c r="N673" s="265"/>
      <c r="O673" s="265"/>
      <c r="P673" s="265"/>
      <c r="Q673" s="266"/>
      <c r="R673" s="243"/>
    </row>
    <row r="674" spans="3:18" customFormat="1" x14ac:dyDescent="0.25">
      <c r="C674" s="243"/>
      <c r="D674" s="45"/>
      <c r="E674" s="45"/>
      <c r="F674" s="45"/>
      <c r="G674" s="45"/>
      <c r="H674" s="45"/>
      <c r="I674" s="265"/>
      <c r="J674" s="265"/>
      <c r="K674" s="45"/>
      <c r="L674" s="243"/>
      <c r="M674" s="243"/>
      <c r="N674" s="265"/>
      <c r="O674" s="265"/>
      <c r="P674" s="265"/>
      <c r="Q674" s="266"/>
      <c r="R674" s="243"/>
    </row>
    <row r="675" spans="3:18" customFormat="1" x14ac:dyDescent="0.25">
      <c r="C675" s="243"/>
      <c r="D675" s="45"/>
      <c r="E675" s="45"/>
      <c r="F675" s="45"/>
      <c r="G675" s="45"/>
      <c r="H675" s="45"/>
      <c r="I675" s="265"/>
      <c r="J675" s="265"/>
      <c r="K675" s="45"/>
      <c r="L675" s="243"/>
      <c r="M675" s="243"/>
      <c r="N675" s="265"/>
      <c r="O675" s="265"/>
      <c r="P675" s="265"/>
      <c r="Q675" s="266"/>
      <c r="R675" s="243"/>
    </row>
    <row r="676" spans="3:18" customFormat="1" x14ac:dyDescent="0.25">
      <c r="C676" s="243"/>
      <c r="D676" s="45"/>
      <c r="E676" s="45"/>
      <c r="F676" s="45"/>
      <c r="G676" s="45"/>
      <c r="H676" s="45"/>
      <c r="I676" s="265"/>
      <c r="J676" s="265"/>
      <c r="K676" s="45"/>
      <c r="L676" s="243"/>
      <c r="M676" s="243"/>
      <c r="N676" s="265"/>
      <c r="O676" s="265"/>
      <c r="P676" s="265"/>
      <c r="Q676" s="266"/>
      <c r="R676" s="243"/>
    </row>
    <row r="677" spans="3:18" customFormat="1" x14ac:dyDescent="0.25">
      <c r="C677" s="243"/>
      <c r="D677" s="45"/>
      <c r="E677" s="45"/>
      <c r="F677" s="45"/>
      <c r="G677" s="45"/>
      <c r="H677" s="45"/>
      <c r="I677" s="265"/>
      <c r="J677" s="265"/>
      <c r="K677" s="45"/>
      <c r="L677" s="243"/>
      <c r="M677" s="243"/>
      <c r="N677" s="265"/>
      <c r="O677" s="265"/>
      <c r="P677" s="265"/>
      <c r="Q677" s="266"/>
      <c r="R677" s="243"/>
    </row>
    <row r="678" spans="3:18" customFormat="1" x14ac:dyDescent="0.25">
      <c r="C678" s="243"/>
      <c r="D678" s="45"/>
      <c r="E678" s="45"/>
      <c r="F678" s="45"/>
      <c r="G678" s="45"/>
      <c r="H678" s="45"/>
      <c r="I678" s="265"/>
      <c r="J678" s="265"/>
      <c r="K678" s="45"/>
      <c r="L678" s="243"/>
      <c r="M678" s="243"/>
      <c r="N678" s="265"/>
      <c r="O678" s="265"/>
      <c r="P678" s="265"/>
      <c r="Q678" s="266"/>
      <c r="R678" s="243"/>
    </row>
    <row r="679" spans="3:18" customFormat="1" x14ac:dyDescent="0.25">
      <c r="C679" s="243"/>
      <c r="D679" s="45"/>
      <c r="E679" s="45"/>
      <c r="F679" s="45"/>
      <c r="G679" s="45"/>
      <c r="H679" s="45"/>
      <c r="I679" s="265"/>
      <c r="J679" s="265"/>
      <c r="K679" s="45"/>
      <c r="L679" s="243"/>
      <c r="M679" s="243"/>
      <c r="N679" s="265"/>
      <c r="O679" s="265"/>
      <c r="P679" s="265"/>
      <c r="Q679" s="266"/>
      <c r="R679" s="243"/>
    </row>
    <row r="680" spans="3:18" customFormat="1" x14ac:dyDescent="0.25">
      <c r="C680" s="243"/>
      <c r="D680" s="45"/>
      <c r="E680" s="45"/>
      <c r="F680" s="45"/>
      <c r="G680" s="45"/>
      <c r="H680" s="45"/>
      <c r="I680" s="265"/>
      <c r="J680" s="265"/>
      <c r="K680" s="45"/>
      <c r="L680" s="243"/>
      <c r="M680" s="243"/>
      <c r="N680" s="265"/>
      <c r="O680" s="265"/>
      <c r="P680" s="265"/>
      <c r="Q680" s="266"/>
      <c r="R680" s="243"/>
    </row>
    <row r="681" spans="3:18" customFormat="1" x14ac:dyDescent="0.25">
      <c r="C681" s="243"/>
      <c r="D681" s="45"/>
      <c r="E681" s="45"/>
      <c r="F681" s="45"/>
      <c r="G681" s="45"/>
      <c r="H681" s="45"/>
      <c r="I681" s="265"/>
      <c r="J681" s="265"/>
      <c r="K681" s="45"/>
      <c r="L681" s="243"/>
      <c r="M681" s="243"/>
      <c r="N681" s="265"/>
      <c r="O681" s="265"/>
      <c r="P681" s="265"/>
      <c r="Q681" s="266"/>
      <c r="R681" s="243"/>
    </row>
    <row r="682" spans="3:18" customFormat="1" x14ac:dyDescent="0.25">
      <c r="C682" s="243"/>
      <c r="D682" s="45"/>
      <c r="E682" s="45"/>
      <c r="F682" s="45"/>
      <c r="G682" s="45"/>
      <c r="H682" s="45"/>
      <c r="I682" s="265"/>
      <c r="J682" s="265"/>
      <c r="K682" s="45"/>
      <c r="L682" s="243"/>
      <c r="M682" s="243"/>
      <c r="N682" s="265"/>
      <c r="O682" s="265"/>
      <c r="P682" s="265"/>
      <c r="Q682" s="266"/>
      <c r="R682" s="243"/>
    </row>
    <row r="683" spans="3:18" customFormat="1" x14ac:dyDescent="0.25">
      <c r="C683" s="243"/>
      <c r="D683" s="45"/>
      <c r="E683" s="45"/>
      <c r="F683" s="45"/>
      <c r="G683" s="45"/>
      <c r="H683" s="45"/>
      <c r="I683" s="265"/>
      <c r="J683" s="265"/>
      <c r="K683" s="45"/>
      <c r="L683" s="243"/>
      <c r="M683" s="243"/>
      <c r="N683" s="265"/>
      <c r="O683" s="265"/>
      <c r="P683" s="265"/>
      <c r="Q683" s="266"/>
      <c r="R683" s="243"/>
    </row>
    <row r="684" spans="3:18" customFormat="1" x14ac:dyDescent="0.25">
      <c r="C684" s="243"/>
      <c r="D684" s="45"/>
      <c r="E684" s="45"/>
      <c r="F684" s="45"/>
      <c r="G684" s="45"/>
      <c r="H684" s="45"/>
      <c r="I684" s="265"/>
      <c r="J684" s="265"/>
      <c r="K684" s="45"/>
      <c r="L684" s="243"/>
      <c r="M684" s="243"/>
      <c r="N684" s="265"/>
      <c r="O684" s="265"/>
      <c r="P684" s="265"/>
      <c r="Q684" s="266"/>
      <c r="R684" s="243"/>
    </row>
    <row r="685" spans="3:18" customFormat="1" x14ac:dyDescent="0.25">
      <c r="C685" s="243"/>
      <c r="D685" s="45"/>
      <c r="E685" s="45"/>
      <c r="F685" s="45"/>
      <c r="G685" s="45"/>
      <c r="H685" s="45"/>
      <c r="I685" s="265"/>
      <c r="J685" s="265"/>
      <c r="K685" s="45"/>
      <c r="L685" s="243"/>
      <c r="M685" s="243"/>
      <c r="N685" s="265"/>
      <c r="O685" s="265"/>
      <c r="P685" s="265"/>
      <c r="Q685" s="266"/>
      <c r="R685" s="243"/>
    </row>
    <row r="686" spans="3:18" customFormat="1" x14ac:dyDescent="0.25">
      <c r="C686" s="243"/>
      <c r="D686" s="45"/>
      <c r="E686" s="45"/>
      <c r="F686" s="45"/>
      <c r="G686" s="45"/>
      <c r="H686" s="45"/>
      <c r="I686" s="265"/>
      <c r="J686" s="265"/>
      <c r="K686" s="45"/>
      <c r="L686" s="243"/>
      <c r="M686" s="243"/>
      <c r="N686" s="265"/>
      <c r="O686" s="265"/>
      <c r="P686" s="265"/>
      <c r="Q686" s="266"/>
      <c r="R686" s="243"/>
    </row>
    <row r="687" spans="3:18" customFormat="1" x14ac:dyDescent="0.25">
      <c r="C687" s="243"/>
      <c r="D687" s="45"/>
      <c r="E687" s="45"/>
      <c r="F687" s="45"/>
      <c r="G687" s="45"/>
      <c r="H687" s="45"/>
      <c r="I687" s="265"/>
      <c r="J687" s="265"/>
      <c r="K687" s="45"/>
      <c r="L687" s="243"/>
      <c r="M687" s="243"/>
      <c r="N687" s="265"/>
      <c r="O687" s="265"/>
      <c r="P687" s="265"/>
      <c r="Q687" s="266"/>
      <c r="R687" s="243"/>
    </row>
    <row r="688" spans="3:18" customFormat="1" x14ac:dyDescent="0.25">
      <c r="C688" s="243"/>
      <c r="D688" s="45"/>
      <c r="E688" s="45"/>
      <c r="F688" s="45"/>
      <c r="G688" s="45"/>
      <c r="H688" s="45"/>
      <c r="I688" s="265"/>
      <c r="J688" s="265"/>
      <c r="K688" s="45"/>
      <c r="L688" s="243"/>
      <c r="M688" s="243"/>
      <c r="N688" s="265"/>
      <c r="O688" s="265"/>
      <c r="P688" s="265"/>
      <c r="Q688" s="266"/>
      <c r="R688" s="243"/>
    </row>
    <row r="689" spans="3:18" customFormat="1" x14ac:dyDescent="0.25">
      <c r="C689" s="243"/>
      <c r="D689" s="45"/>
      <c r="E689" s="45"/>
      <c r="F689" s="45"/>
      <c r="G689" s="45"/>
      <c r="H689" s="45"/>
      <c r="I689" s="265"/>
      <c r="J689" s="265"/>
      <c r="K689" s="45"/>
      <c r="L689" s="243"/>
      <c r="M689" s="243"/>
      <c r="N689" s="265"/>
      <c r="O689" s="265"/>
      <c r="P689" s="265"/>
      <c r="Q689" s="266"/>
      <c r="R689" s="243"/>
    </row>
    <row r="690" spans="3:18" customFormat="1" x14ac:dyDescent="0.25">
      <c r="C690" s="243"/>
      <c r="D690" s="45"/>
      <c r="E690" s="45"/>
      <c r="F690" s="45"/>
      <c r="G690" s="45"/>
      <c r="H690" s="45"/>
      <c r="I690" s="265"/>
      <c r="J690" s="265"/>
      <c r="K690" s="45"/>
      <c r="L690" s="243"/>
      <c r="M690" s="243"/>
      <c r="N690" s="265"/>
      <c r="O690" s="265"/>
      <c r="P690" s="265"/>
      <c r="Q690" s="266"/>
      <c r="R690" s="243"/>
    </row>
    <row r="691" spans="3:18" customFormat="1" x14ac:dyDescent="0.25">
      <c r="C691" s="243"/>
      <c r="D691" s="45"/>
      <c r="E691" s="45"/>
      <c r="F691" s="45"/>
      <c r="G691" s="45"/>
      <c r="H691" s="45"/>
      <c r="I691" s="265"/>
      <c r="J691" s="265"/>
      <c r="K691" s="45"/>
      <c r="L691" s="243"/>
      <c r="M691" s="243"/>
      <c r="N691" s="265"/>
      <c r="O691" s="265"/>
      <c r="P691" s="265"/>
      <c r="Q691" s="266"/>
      <c r="R691" s="243"/>
    </row>
    <row r="692" spans="3:18" customFormat="1" x14ac:dyDescent="0.25">
      <c r="C692" s="243"/>
      <c r="D692" s="45"/>
      <c r="E692" s="45"/>
      <c r="F692" s="45"/>
      <c r="G692" s="45"/>
      <c r="H692" s="45"/>
      <c r="I692" s="265"/>
      <c r="J692" s="265"/>
      <c r="K692" s="45"/>
      <c r="L692" s="243"/>
      <c r="M692" s="243"/>
      <c r="N692" s="265"/>
      <c r="O692" s="265"/>
      <c r="P692" s="265"/>
      <c r="Q692" s="266"/>
      <c r="R692" s="243"/>
    </row>
    <row r="693" spans="3:18" customFormat="1" x14ac:dyDescent="0.25">
      <c r="C693" s="243"/>
      <c r="D693" s="45"/>
      <c r="E693" s="45"/>
      <c r="F693" s="45"/>
      <c r="G693" s="45"/>
      <c r="H693" s="45"/>
      <c r="I693" s="265"/>
      <c r="J693" s="265"/>
      <c r="K693" s="45"/>
      <c r="L693" s="243"/>
      <c r="M693" s="243"/>
      <c r="N693" s="265"/>
      <c r="O693" s="265"/>
      <c r="P693" s="265"/>
      <c r="Q693" s="266"/>
      <c r="R693" s="243"/>
    </row>
    <row r="694" spans="3:18" customFormat="1" x14ac:dyDescent="0.25">
      <c r="C694" s="243"/>
      <c r="D694" s="45"/>
      <c r="E694" s="45"/>
      <c r="F694" s="45"/>
      <c r="G694" s="45"/>
      <c r="H694" s="45"/>
      <c r="I694" s="265"/>
      <c r="J694" s="265"/>
      <c r="K694" s="45"/>
      <c r="L694" s="243"/>
      <c r="M694" s="243"/>
      <c r="N694" s="265"/>
      <c r="O694" s="265"/>
      <c r="P694" s="265"/>
      <c r="Q694" s="266"/>
      <c r="R694" s="243"/>
    </row>
    <row r="695" spans="3:18" customFormat="1" x14ac:dyDescent="0.25">
      <c r="C695" s="243"/>
      <c r="D695" s="45"/>
      <c r="E695" s="45"/>
      <c r="F695" s="45"/>
      <c r="G695" s="45"/>
      <c r="H695" s="45"/>
      <c r="I695" s="265"/>
      <c r="J695" s="265"/>
      <c r="K695" s="45"/>
      <c r="L695" s="243"/>
      <c r="M695" s="243"/>
      <c r="N695" s="265"/>
      <c r="O695" s="265"/>
      <c r="P695" s="265"/>
      <c r="Q695" s="266"/>
      <c r="R695" s="243"/>
    </row>
    <row r="696" spans="3:18" customFormat="1" x14ac:dyDescent="0.25">
      <c r="C696" s="243"/>
      <c r="D696" s="45"/>
      <c r="E696" s="45"/>
      <c r="F696" s="45"/>
      <c r="G696" s="45"/>
      <c r="H696" s="45"/>
      <c r="I696" s="265"/>
      <c r="J696" s="265"/>
      <c r="K696" s="45"/>
      <c r="L696" s="243"/>
      <c r="M696" s="243"/>
      <c r="N696" s="265"/>
      <c r="O696" s="265"/>
      <c r="P696" s="265"/>
      <c r="Q696" s="266"/>
      <c r="R696" s="243"/>
    </row>
    <row r="697" spans="3:18" customFormat="1" x14ac:dyDescent="0.25">
      <c r="C697" s="243"/>
      <c r="D697" s="45"/>
      <c r="E697" s="45"/>
      <c r="F697" s="45"/>
      <c r="G697" s="45"/>
      <c r="H697" s="45"/>
      <c r="I697" s="265"/>
      <c r="J697" s="265"/>
      <c r="K697" s="45"/>
      <c r="L697" s="243"/>
      <c r="M697" s="243"/>
      <c r="N697" s="265"/>
      <c r="O697" s="265"/>
      <c r="P697" s="265"/>
      <c r="Q697" s="266"/>
      <c r="R697" s="243"/>
    </row>
    <row r="698" spans="3:18" customFormat="1" x14ac:dyDescent="0.25">
      <c r="C698" s="243"/>
      <c r="D698" s="45"/>
      <c r="E698" s="45"/>
      <c r="F698" s="45"/>
      <c r="G698" s="45"/>
      <c r="H698" s="45"/>
      <c r="I698" s="265"/>
      <c r="J698" s="265"/>
      <c r="K698" s="45"/>
      <c r="L698" s="243"/>
      <c r="M698" s="243"/>
      <c r="N698" s="265"/>
      <c r="O698" s="265"/>
      <c r="P698" s="265"/>
      <c r="Q698" s="266"/>
      <c r="R698" s="243"/>
    </row>
    <row r="699" spans="3:18" customFormat="1" x14ac:dyDescent="0.25">
      <c r="C699" s="243"/>
      <c r="D699" s="45"/>
      <c r="E699" s="45"/>
      <c r="F699" s="45"/>
      <c r="G699" s="45"/>
      <c r="H699" s="45"/>
      <c r="I699" s="265"/>
      <c r="J699" s="265"/>
      <c r="K699" s="45"/>
      <c r="L699" s="243"/>
      <c r="M699" s="243"/>
      <c r="N699" s="265"/>
      <c r="O699" s="265"/>
      <c r="P699" s="265"/>
      <c r="Q699" s="266"/>
      <c r="R699" s="243"/>
    </row>
    <row r="700" spans="3:18" customFormat="1" x14ac:dyDescent="0.25">
      <c r="C700" s="243"/>
      <c r="D700" s="45"/>
      <c r="E700" s="45"/>
      <c r="F700" s="45"/>
      <c r="G700" s="45"/>
      <c r="H700" s="45"/>
      <c r="I700" s="265"/>
      <c r="J700" s="265"/>
      <c r="K700" s="45"/>
      <c r="L700" s="243"/>
      <c r="M700" s="243"/>
      <c r="N700" s="265"/>
      <c r="O700" s="265"/>
      <c r="P700" s="265"/>
      <c r="Q700" s="266"/>
      <c r="R700" s="243"/>
    </row>
    <row r="701" spans="3:18" customFormat="1" x14ac:dyDescent="0.25">
      <c r="C701" s="243"/>
      <c r="D701" s="45"/>
      <c r="E701" s="45"/>
      <c r="F701" s="45"/>
      <c r="G701" s="45"/>
      <c r="H701" s="45"/>
      <c r="I701" s="265"/>
      <c r="J701" s="265"/>
      <c r="K701" s="45"/>
      <c r="L701" s="243"/>
      <c r="M701" s="243"/>
      <c r="N701" s="265"/>
      <c r="O701" s="265"/>
      <c r="P701" s="265"/>
      <c r="Q701" s="266"/>
      <c r="R701" s="243"/>
    </row>
    <row r="702" spans="3:18" customFormat="1" x14ac:dyDescent="0.25">
      <c r="C702" s="243"/>
      <c r="D702" s="45"/>
      <c r="E702" s="45"/>
      <c r="F702" s="45"/>
      <c r="G702" s="45"/>
      <c r="H702" s="45"/>
      <c r="I702" s="265"/>
      <c r="J702" s="265"/>
      <c r="K702" s="45"/>
      <c r="L702" s="243"/>
      <c r="M702" s="243"/>
      <c r="N702" s="265"/>
      <c r="O702" s="265"/>
      <c r="P702" s="265"/>
      <c r="Q702" s="266"/>
      <c r="R702" s="243"/>
    </row>
    <row r="703" spans="3:18" customFormat="1" x14ac:dyDescent="0.25">
      <c r="C703" s="243"/>
      <c r="D703" s="45"/>
      <c r="E703" s="45"/>
      <c r="F703" s="45"/>
      <c r="G703" s="45"/>
      <c r="H703" s="45"/>
      <c r="I703" s="265"/>
      <c r="J703" s="265"/>
      <c r="K703" s="45"/>
      <c r="L703" s="243"/>
      <c r="M703" s="243"/>
      <c r="N703" s="265"/>
      <c r="O703" s="265"/>
      <c r="P703" s="265"/>
      <c r="Q703" s="266"/>
      <c r="R703" s="243"/>
    </row>
    <row r="704" spans="3:18" customFormat="1" x14ac:dyDescent="0.25">
      <c r="C704" s="243"/>
      <c r="D704" s="45"/>
      <c r="E704" s="45"/>
      <c r="F704" s="45"/>
      <c r="G704" s="45"/>
      <c r="H704" s="45"/>
      <c r="I704" s="265"/>
      <c r="J704" s="265"/>
      <c r="K704" s="45"/>
      <c r="L704" s="243"/>
      <c r="M704" s="243"/>
      <c r="N704" s="265"/>
      <c r="O704" s="265"/>
      <c r="P704" s="265"/>
      <c r="Q704" s="266"/>
      <c r="R704" s="243"/>
    </row>
    <row r="705" spans="3:18" customFormat="1" x14ac:dyDescent="0.25">
      <c r="C705" s="243"/>
      <c r="D705" s="45"/>
      <c r="E705" s="45"/>
      <c r="F705" s="45"/>
      <c r="G705" s="45"/>
      <c r="H705" s="45"/>
      <c r="I705" s="265"/>
      <c r="J705" s="265"/>
      <c r="K705" s="45"/>
      <c r="L705" s="243"/>
      <c r="M705" s="243"/>
      <c r="N705" s="265"/>
      <c r="O705" s="265"/>
      <c r="P705" s="265"/>
      <c r="Q705" s="266"/>
      <c r="R705" s="243"/>
    </row>
    <row r="706" spans="3:18" customFormat="1" x14ac:dyDescent="0.25">
      <c r="C706" s="243"/>
      <c r="D706" s="45"/>
      <c r="E706" s="45"/>
      <c r="F706" s="45"/>
      <c r="G706" s="45"/>
      <c r="H706" s="45"/>
      <c r="I706" s="265"/>
      <c r="J706" s="265"/>
      <c r="K706" s="45"/>
      <c r="L706" s="243"/>
      <c r="M706" s="243"/>
      <c r="N706" s="265"/>
      <c r="O706" s="265"/>
      <c r="P706" s="265"/>
      <c r="Q706" s="266"/>
      <c r="R706" s="243"/>
    </row>
    <row r="707" spans="3:18" customFormat="1" x14ac:dyDescent="0.25">
      <c r="C707" s="243"/>
      <c r="D707" s="45"/>
      <c r="E707" s="45"/>
      <c r="F707" s="45"/>
      <c r="G707" s="45"/>
      <c r="H707" s="45"/>
      <c r="I707" s="265"/>
      <c r="J707" s="265"/>
      <c r="K707" s="45"/>
      <c r="L707" s="243"/>
      <c r="M707" s="243"/>
      <c r="N707" s="265"/>
      <c r="O707" s="265"/>
      <c r="P707" s="265"/>
      <c r="Q707" s="266"/>
      <c r="R707" s="243"/>
    </row>
    <row r="708" spans="3:18" customFormat="1" x14ac:dyDescent="0.25">
      <c r="C708" s="243"/>
      <c r="D708" s="45"/>
      <c r="E708" s="45"/>
      <c r="F708" s="45"/>
      <c r="G708" s="45"/>
      <c r="H708" s="45"/>
      <c r="I708" s="265"/>
      <c r="J708" s="265"/>
      <c r="K708" s="45"/>
      <c r="L708" s="243"/>
      <c r="M708" s="243"/>
      <c r="N708" s="265"/>
      <c r="O708" s="265"/>
      <c r="P708" s="265"/>
      <c r="Q708" s="266"/>
      <c r="R708" s="243"/>
    </row>
    <row r="709" spans="3:18" customFormat="1" x14ac:dyDescent="0.25">
      <c r="C709" s="243"/>
      <c r="D709" s="45"/>
      <c r="E709" s="45"/>
      <c r="F709" s="45"/>
      <c r="G709" s="45"/>
      <c r="H709" s="45"/>
      <c r="I709" s="265"/>
      <c r="J709" s="265"/>
      <c r="K709" s="45"/>
      <c r="L709" s="243"/>
      <c r="M709" s="243"/>
      <c r="N709" s="265"/>
      <c r="O709" s="265"/>
      <c r="P709" s="265"/>
      <c r="Q709" s="266"/>
      <c r="R709" s="243"/>
    </row>
    <row r="710" spans="3:18" customFormat="1" x14ac:dyDescent="0.25">
      <c r="C710" s="243"/>
      <c r="D710" s="45"/>
      <c r="E710" s="45"/>
      <c r="F710" s="45"/>
      <c r="G710" s="45"/>
      <c r="H710" s="45"/>
      <c r="I710" s="265"/>
      <c r="J710" s="265"/>
      <c r="K710" s="45"/>
      <c r="L710" s="243"/>
      <c r="M710" s="243"/>
      <c r="N710" s="265"/>
      <c r="O710" s="265"/>
      <c r="P710" s="265"/>
      <c r="Q710" s="266"/>
      <c r="R710" s="243"/>
    </row>
    <row r="711" spans="3:18" customFormat="1" x14ac:dyDescent="0.25">
      <c r="C711" s="243"/>
      <c r="D711" s="45"/>
      <c r="E711" s="45"/>
      <c r="F711" s="45"/>
      <c r="G711" s="45"/>
      <c r="H711" s="45"/>
      <c r="I711" s="265"/>
      <c r="J711" s="265"/>
      <c r="K711" s="45"/>
      <c r="L711" s="243"/>
      <c r="M711" s="243"/>
      <c r="N711" s="265"/>
      <c r="O711" s="265"/>
      <c r="P711" s="265"/>
      <c r="Q711" s="266"/>
      <c r="R711" s="243"/>
    </row>
    <row r="712" spans="3:18" customFormat="1" x14ac:dyDescent="0.25">
      <c r="C712" s="243"/>
      <c r="D712" s="45"/>
      <c r="E712" s="45"/>
      <c r="F712" s="45"/>
      <c r="G712" s="45"/>
      <c r="H712" s="45"/>
      <c r="I712" s="265"/>
      <c r="J712" s="265"/>
      <c r="K712" s="45"/>
      <c r="L712" s="243"/>
      <c r="M712" s="243"/>
      <c r="N712" s="265"/>
      <c r="O712" s="265"/>
      <c r="P712" s="265"/>
      <c r="Q712" s="266"/>
      <c r="R712" s="243"/>
    </row>
    <row r="713" spans="3:18" customFormat="1" x14ac:dyDescent="0.25">
      <c r="C713" s="243"/>
      <c r="D713" s="45"/>
      <c r="E713" s="45"/>
      <c r="F713" s="45"/>
      <c r="G713" s="45"/>
      <c r="H713" s="45"/>
      <c r="I713" s="265"/>
      <c r="J713" s="265"/>
      <c r="K713" s="45"/>
      <c r="L713" s="243"/>
      <c r="M713" s="243"/>
      <c r="N713" s="265"/>
      <c r="O713" s="265"/>
      <c r="P713" s="265"/>
      <c r="Q713" s="266"/>
      <c r="R713" s="243"/>
    </row>
    <row r="714" spans="3:18" customFormat="1" x14ac:dyDescent="0.25">
      <c r="C714" s="243"/>
      <c r="D714" s="45"/>
      <c r="E714" s="45"/>
      <c r="F714" s="45"/>
      <c r="G714" s="45"/>
      <c r="H714" s="45"/>
      <c r="I714" s="265"/>
      <c r="J714" s="265"/>
      <c r="K714" s="45"/>
      <c r="L714" s="243"/>
      <c r="M714" s="243"/>
      <c r="N714" s="265"/>
      <c r="O714" s="265"/>
      <c r="P714" s="265"/>
      <c r="Q714" s="266"/>
      <c r="R714" s="243"/>
    </row>
    <row r="715" spans="3:18" customFormat="1" x14ac:dyDescent="0.25">
      <c r="C715" s="243"/>
      <c r="D715" s="45"/>
      <c r="E715" s="45"/>
      <c r="F715" s="45"/>
      <c r="G715" s="45"/>
      <c r="H715" s="45"/>
      <c r="I715" s="265"/>
      <c r="J715" s="265"/>
      <c r="K715" s="45"/>
      <c r="L715" s="243"/>
      <c r="M715" s="243"/>
      <c r="N715" s="265"/>
      <c r="O715" s="265"/>
      <c r="P715" s="265"/>
      <c r="Q715" s="266"/>
      <c r="R715" s="243"/>
    </row>
    <row r="716" spans="3:18" customFormat="1" x14ac:dyDescent="0.25">
      <c r="C716" s="243"/>
      <c r="D716" s="45"/>
      <c r="E716" s="45"/>
      <c r="F716" s="45"/>
      <c r="G716" s="45"/>
      <c r="H716" s="45"/>
      <c r="I716" s="265"/>
      <c r="J716" s="265"/>
      <c r="K716" s="45"/>
      <c r="L716" s="243"/>
      <c r="M716" s="243"/>
      <c r="N716" s="265"/>
      <c r="O716" s="265"/>
      <c r="P716" s="265"/>
      <c r="Q716" s="266"/>
      <c r="R716" s="243"/>
    </row>
    <row r="717" spans="3:18" customFormat="1" x14ac:dyDescent="0.25">
      <c r="C717" s="243"/>
      <c r="D717" s="45"/>
      <c r="E717" s="45"/>
      <c r="F717" s="45"/>
      <c r="G717" s="45"/>
      <c r="H717" s="45"/>
      <c r="I717" s="265"/>
      <c r="J717" s="265"/>
      <c r="K717" s="45"/>
      <c r="L717" s="243"/>
      <c r="M717" s="243"/>
      <c r="N717" s="265"/>
      <c r="O717" s="265"/>
      <c r="P717" s="265"/>
      <c r="Q717" s="266"/>
      <c r="R717" s="243"/>
    </row>
    <row r="718" spans="3:18" customFormat="1" x14ac:dyDescent="0.25">
      <c r="C718" s="243"/>
      <c r="D718" s="45"/>
      <c r="E718" s="45"/>
      <c r="F718" s="45"/>
      <c r="G718" s="45"/>
      <c r="H718" s="45"/>
      <c r="I718" s="265"/>
      <c r="J718" s="265"/>
      <c r="K718" s="45"/>
      <c r="L718" s="243"/>
      <c r="M718" s="243"/>
      <c r="N718" s="265"/>
      <c r="O718" s="265"/>
      <c r="P718" s="265"/>
      <c r="Q718" s="266"/>
      <c r="R718" s="243"/>
    </row>
    <row r="719" spans="3:18" customFormat="1" x14ac:dyDescent="0.25">
      <c r="C719" s="243"/>
      <c r="D719" s="45"/>
      <c r="E719" s="45"/>
      <c r="F719" s="45"/>
      <c r="G719" s="45"/>
      <c r="H719" s="45"/>
      <c r="I719" s="265"/>
      <c r="J719" s="265"/>
      <c r="K719" s="45"/>
      <c r="L719" s="243"/>
      <c r="M719" s="243"/>
      <c r="N719" s="265"/>
      <c r="O719" s="265"/>
      <c r="P719" s="265"/>
      <c r="Q719" s="266"/>
      <c r="R719" s="243"/>
    </row>
    <row r="720" spans="3:18" customFormat="1" x14ac:dyDescent="0.25">
      <c r="C720" s="243"/>
      <c r="D720" s="45"/>
      <c r="E720" s="45"/>
      <c r="F720" s="45"/>
      <c r="G720" s="45"/>
      <c r="H720" s="45"/>
      <c r="I720" s="265"/>
      <c r="J720" s="265"/>
      <c r="K720" s="45"/>
      <c r="L720" s="243"/>
      <c r="M720" s="243"/>
      <c r="N720" s="265"/>
      <c r="O720" s="265"/>
      <c r="P720" s="265"/>
      <c r="Q720" s="266"/>
      <c r="R720" s="243"/>
    </row>
    <row r="721" spans="3:18" customFormat="1" x14ac:dyDescent="0.25">
      <c r="C721" s="243"/>
      <c r="D721" s="45"/>
      <c r="E721" s="45"/>
      <c r="F721" s="45"/>
      <c r="G721" s="45"/>
      <c r="H721" s="45"/>
      <c r="I721" s="265"/>
      <c r="J721" s="265"/>
      <c r="K721" s="45"/>
      <c r="L721" s="243"/>
      <c r="M721" s="243"/>
      <c r="N721" s="265"/>
      <c r="O721" s="265"/>
      <c r="P721" s="265"/>
      <c r="Q721" s="266"/>
      <c r="R721" s="243"/>
    </row>
    <row r="722" spans="3:18" customFormat="1" x14ac:dyDescent="0.25">
      <c r="C722" s="243"/>
      <c r="D722" s="45"/>
      <c r="E722" s="45"/>
      <c r="F722" s="45"/>
      <c r="G722" s="45"/>
      <c r="H722" s="45"/>
      <c r="I722" s="265"/>
      <c r="J722" s="265"/>
      <c r="K722" s="45"/>
      <c r="L722" s="243"/>
      <c r="M722" s="243"/>
      <c r="N722" s="265"/>
      <c r="O722" s="265"/>
      <c r="P722" s="265"/>
      <c r="Q722" s="266"/>
      <c r="R722" s="243"/>
    </row>
    <row r="723" spans="3:18" customFormat="1" x14ac:dyDescent="0.25">
      <c r="C723" s="243"/>
      <c r="D723" s="45"/>
      <c r="E723" s="45"/>
      <c r="F723" s="45"/>
      <c r="G723" s="45"/>
      <c r="H723" s="45"/>
      <c r="I723" s="265"/>
      <c r="J723" s="265"/>
      <c r="K723" s="45"/>
      <c r="L723" s="243"/>
      <c r="M723" s="243"/>
      <c r="N723" s="265"/>
      <c r="O723" s="265"/>
      <c r="P723" s="265"/>
      <c r="Q723" s="266"/>
      <c r="R723" s="243"/>
    </row>
    <row r="724" spans="3:18" customFormat="1" x14ac:dyDescent="0.25">
      <c r="C724" s="243"/>
      <c r="D724" s="45"/>
      <c r="E724" s="45"/>
      <c r="F724" s="45"/>
      <c r="G724" s="45"/>
      <c r="H724" s="45"/>
      <c r="I724" s="265"/>
      <c r="J724" s="265"/>
      <c r="K724" s="45"/>
      <c r="L724" s="243"/>
      <c r="M724" s="243"/>
      <c r="N724" s="265"/>
      <c r="O724" s="265"/>
      <c r="P724" s="265"/>
      <c r="Q724" s="266"/>
      <c r="R724" s="243"/>
    </row>
    <row r="725" spans="3:18" customFormat="1" x14ac:dyDescent="0.25">
      <c r="C725" s="243"/>
      <c r="D725" s="45"/>
      <c r="E725" s="45"/>
      <c r="F725" s="45"/>
      <c r="G725" s="45"/>
      <c r="H725" s="45"/>
      <c r="I725" s="265"/>
      <c r="J725" s="265"/>
      <c r="K725" s="45"/>
      <c r="L725" s="243"/>
      <c r="M725" s="243"/>
      <c r="N725" s="265"/>
      <c r="O725" s="265"/>
      <c r="P725" s="265"/>
      <c r="Q725" s="266"/>
      <c r="R725" s="243"/>
    </row>
    <row r="726" spans="3:18" customFormat="1" x14ac:dyDescent="0.25">
      <c r="C726" s="243"/>
      <c r="D726" s="45"/>
      <c r="E726" s="45"/>
      <c r="F726" s="45"/>
      <c r="G726" s="45"/>
      <c r="H726" s="45"/>
      <c r="I726" s="265"/>
      <c r="J726" s="265"/>
      <c r="K726" s="45"/>
      <c r="L726" s="243"/>
      <c r="M726" s="243"/>
      <c r="N726" s="265"/>
      <c r="O726" s="265"/>
      <c r="P726" s="265"/>
      <c r="Q726" s="266"/>
      <c r="R726" s="243"/>
    </row>
    <row r="727" spans="3:18" customFormat="1" x14ac:dyDescent="0.25">
      <c r="C727" s="243"/>
      <c r="D727" s="45"/>
      <c r="E727" s="45"/>
      <c r="F727" s="45"/>
      <c r="G727" s="45"/>
      <c r="H727" s="45"/>
      <c r="I727" s="265"/>
      <c r="J727" s="265"/>
      <c r="K727" s="45"/>
      <c r="L727" s="243"/>
      <c r="M727" s="243"/>
      <c r="N727" s="265"/>
      <c r="O727" s="265"/>
      <c r="P727" s="265"/>
      <c r="Q727" s="266"/>
      <c r="R727" s="243"/>
    </row>
    <row r="728" spans="3:18" customFormat="1" x14ac:dyDescent="0.25">
      <c r="C728" s="243"/>
      <c r="D728" s="45"/>
      <c r="E728" s="45"/>
      <c r="F728" s="45"/>
      <c r="G728" s="45"/>
      <c r="H728" s="45"/>
      <c r="I728" s="265"/>
      <c r="J728" s="265"/>
      <c r="K728" s="45"/>
      <c r="L728" s="243"/>
      <c r="M728" s="243"/>
      <c r="N728" s="265"/>
      <c r="O728" s="265"/>
      <c r="P728" s="265"/>
      <c r="Q728" s="266"/>
      <c r="R728" s="243"/>
    </row>
    <row r="729" spans="3:18" customFormat="1" x14ac:dyDescent="0.25">
      <c r="C729" s="243"/>
      <c r="D729" s="45"/>
      <c r="E729" s="45"/>
      <c r="F729" s="45"/>
      <c r="G729" s="45"/>
      <c r="H729" s="45"/>
      <c r="I729" s="265"/>
      <c r="J729" s="265"/>
      <c r="K729" s="45"/>
      <c r="L729" s="243"/>
      <c r="M729" s="243"/>
      <c r="N729" s="265"/>
      <c r="O729" s="265"/>
      <c r="P729" s="265"/>
      <c r="Q729" s="266"/>
      <c r="R729" s="243"/>
    </row>
    <row r="730" spans="3:18" customFormat="1" x14ac:dyDescent="0.25">
      <c r="C730" s="243"/>
      <c r="D730" s="45"/>
      <c r="E730" s="45"/>
      <c r="F730" s="45"/>
      <c r="G730" s="45"/>
      <c r="H730" s="45"/>
      <c r="I730" s="265"/>
      <c r="J730" s="265"/>
      <c r="K730" s="45"/>
      <c r="L730" s="243"/>
      <c r="M730" s="243"/>
      <c r="N730" s="265"/>
      <c r="O730" s="265"/>
      <c r="P730" s="265"/>
      <c r="Q730" s="266"/>
      <c r="R730" s="243"/>
    </row>
    <row r="731" spans="3:18" customFormat="1" x14ac:dyDescent="0.25">
      <c r="C731" s="243"/>
      <c r="D731" s="45"/>
      <c r="E731" s="45"/>
      <c r="F731" s="45"/>
      <c r="G731" s="45"/>
      <c r="H731" s="45"/>
      <c r="I731" s="265"/>
      <c r="J731" s="265"/>
      <c r="K731" s="45"/>
      <c r="L731" s="243"/>
      <c r="M731" s="243"/>
      <c r="N731" s="265"/>
      <c r="O731" s="265"/>
      <c r="P731" s="265"/>
      <c r="Q731" s="266"/>
      <c r="R731" s="243"/>
    </row>
    <row r="732" spans="3:18" customFormat="1" x14ac:dyDescent="0.25">
      <c r="C732" s="243"/>
      <c r="D732" s="45"/>
      <c r="E732" s="45"/>
      <c r="F732" s="45"/>
      <c r="G732" s="45"/>
      <c r="H732" s="45"/>
      <c r="I732" s="265"/>
      <c r="J732" s="265"/>
      <c r="K732" s="45"/>
      <c r="L732" s="243"/>
      <c r="M732" s="243"/>
      <c r="N732" s="265"/>
      <c r="O732" s="265"/>
      <c r="P732" s="265"/>
      <c r="Q732" s="266"/>
      <c r="R732" s="243"/>
    </row>
    <row r="733" spans="3:18" customFormat="1" x14ac:dyDescent="0.25">
      <c r="C733" s="243"/>
      <c r="D733" s="45"/>
      <c r="E733" s="45"/>
      <c r="F733" s="45"/>
      <c r="G733" s="45"/>
      <c r="H733" s="45"/>
      <c r="I733" s="265"/>
      <c r="J733" s="265"/>
      <c r="K733" s="45"/>
      <c r="L733" s="243"/>
      <c r="M733" s="243"/>
      <c r="N733" s="265"/>
      <c r="O733" s="265"/>
      <c r="P733" s="265"/>
      <c r="Q733" s="266"/>
      <c r="R733" s="243"/>
    </row>
    <row r="734" spans="3:18" customFormat="1" x14ac:dyDescent="0.25">
      <c r="C734" s="243"/>
      <c r="D734" s="45"/>
      <c r="E734" s="45"/>
      <c r="F734" s="45"/>
      <c r="G734" s="45"/>
      <c r="H734" s="45"/>
      <c r="I734" s="265"/>
      <c r="J734" s="265"/>
      <c r="K734" s="45"/>
      <c r="L734" s="243"/>
      <c r="M734" s="243"/>
      <c r="N734" s="265"/>
      <c r="O734" s="265"/>
      <c r="P734" s="265"/>
      <c r="Q734" s="266"/>
      <c r="R734" s="243"/>
    </row>
    <row r="735" spans="3:18" customFormat="1" x14ac:dyDescent="0.25">
      <c r="C735" s="243"/>
      <c r="D735" s="45"/>
      <c r="E735" s="45"/>
      <c r="F735" s="45"/>
      <c r="G735" s="45"/>
      <c r="H735" s="45"/>
      <c r="I735" s="265"/>
      <c r="J735" s="265"/>
      <c r="K735" s="45"/>
      <c r="L735" s="243"/>
      <c r="M735" s="243"/>
      <c r="N735" s="265"/>
      <c r="O735" s="265"/>
      <c r="P735" s="265"/>
      <c r="Q735" s="266"/>
      <c r="R735" s="243"/>
    </row>
    <row r="736" spans="3:18" customFormat="1" x14ac:dyDescent="0.25">
      <c r="C736" s="243"/>
      <c r="D736" s="45"/>
      <c r="E736" s="45"/>
      <c r="F736" s="45"/>
      <c r="G736" s="45"/>
      <c r="H736" s="45"/>
      <c r="I736" s="265"/>
      <c r="J736" s="265"/>
      <c r="K736" s="45"/>
      <c r="L736" s="243"/>
      <c r="M736" s="243"/>
      <c r="N736" s="265"/>
      <c r="O736" s="265"/>
      <c r="P736" s="265"/>
      <c r="Q736" s="266"/>
      <c r="R736" s="243"/>
    </row>
    <row r="737" spans="3:18" customFormat="1" x14ac:dyDescent="0.25">
      <c r="C737" s="243"/>
      <c r="D737" s="45"/>
      <c r="E737" s="45"/>
      <c r="F737" s="45"/>
      <c r="G737" s="45"/>
      <c r="H737" s="45"/>
      <c r="I737" s="265"/>
      <c r="J737" s="265"/>
      <c r="K737" s="45"/>
      <c r="L737" s="243"/>
      <c r="M737" s="243"/>
      <c r="N737" s="265"/>
      <c r="O737" s="265"/>
      <c r="P737" s="265"/>
      <c r="Q737" s="266"/>
      <c r="R737" s="243"/>
    </row>
    <row r="738" spans="3:18" customFormat="1" x14ac:dyDescent="0.25">
      <c r="C738" s="243"/>
      <c r="D738" s="45"/>
      <c r="E738" s="45"/>
      <c r="F738" s="45"/>
      <c r="G738" s="45"/>
      <c r="H738" s="45"/>
      <c r="I738" s="265"/>
      <c r="J738" s="265"/>
      <c r="K738" s="45"/>
      <c r="L738" s="243"/>
      <c r="M738" s="243"/>
      <c r="N738" s="265"/>
      <c r="O738" s="265"/>
      <c r="P738" s="265"/>
      <c r="Q738" s="266"/>
      <c r="R738" s="243"/>
    </row>
    <row r="739" spans="3:18" customFormat="1" x14ac:dyDescent="0.25">
      <c r="C739" s="243"/>
      <c r="D739" s="45"/>
      <c r="E739" s="45"/>
      <c r="F739" s="45"/>
      <c r="G739" s="45"/>
      <c r="H739" s="45"/>
      <c r="I739" s="265"/>
      <c r="J739" s="265"/>
      <c r="K739" s="45"/>
      <c r="L739" s="243"/>
      <c r="M739" s="243"/>
      <c r="N739" s="265"/>
      <c r="O739" s="265"/>
      <c r="P739" s="265"/>
      <c r="Q739" s="266"/>
      <c r="R739" s="243"/>
    </row>
    <row r="740" spans="3:18" customFormat="1" x14ac:dyDescent="0.25">
      <c r="C740" s="243"/>
      <c r="D740" s="45"/>
      <c r="E740" s="45"/>
      <c r="F740" s="45"/>
      <c r="G740" s="45"/>
      <c r="H740" s="45"/>
      <c r="I740" s="265"/>
      <c r="J740" s="265"/>
      <c r="K740" s="45"/>
      <c r="L740" s="243"/>
      <c r="M740" s="243"/>
      <c r="N740" s="265"/>
      <c r="O740" s="265"/>
      <c r="P740" s="265"/>
      <c r="Q740" s="266"/>
      <c r="R740" s="243"/>
    </row>
    <row r="741" spans="3:18" customFormat="1" x14ac:dyDescent="0.25">
      <c r="C741" s="243"/>
      <c r="D741" s="45"/>
      <c r="E741" s="45"/>
      <c r="F741" s="45"/>
      <c r="G741" s="45"/>
      <c r="H741" s="45"/>
      <c r="I741" s="265"/>
      <c r="J741" s="265"/>
      <c r="K741" s="45"/>
      <c r="L741" s="243"/>
      <c r="M741" s="243"/>
      <c r="N741" s="265"/>
      <c r="O741" s="265"/>
      <c r="P741" s="265"/>
      <c r="Q741" s="266"/>
      <c r="R741" s="243"/>
    </row>
    <row r="742" spans="3:18" customFormat="1" x14ac:dyDescent="0.25">
      <c r="C742" s="243"/>
      <c r="D742" s="45"/>
      <c r="E742" s="45"/>
      <c r="F742" s="45"/>
      <c r="G742" s="45"/>
      <c r="H742" s="45"/>
      <c r="I742" s="265"/>
      <c r="J742" s="265"/>
      <c r="K742" s="45"/>
      <c r="L742" s="243"/>
      <c r="M742" s="243"/>
      <c r="N742" s="265"/>
      <c r="O742" s="265"/>
      <c r="P742" s="265"/>
      <c r="Q742" s="266"/>
      <c r="R742" s="243"/>
    </row>
    <row r="743" spans="3:18" customFormat="1" x14ac:dyDescent="0.25">
      <c r="C743" s="243"/>
      <c r="D743" s="45"/>
      <c r="E743" s="45"/>
      <c r="F743" s="45"/>
      <c r="G743" s="45"/>
      <c r="H743" s="45"/>
      <c r="I743" s="265"/>
      <c r="J743" s="265"/>
      <c r="K743" s="45"/>
      <c r="L743" s="243"/>
      <c r="M743" s="243"/>
      <c r="N743" s="265"/>
      <c r="O743" s="265"/>
      <c r="P743" s="265"/>
      <c r="Q743" s="266"/>
      <c r="R743" s="243"/>
    </row>
    <row r="744" spans="3:18" customFormat="1" x14ac:dyDescent="0.25">
      <c r="C744" s="243"/>
      <c r="D744" s="45"/>
      <c r="E744" s="45"/>
      <c r="F744" s="45"/>
      <c r="G744" s="45"/>
      <c r="H744" s="45"/>
      <c r="I744" s="265"/>
      <c r="J744" s="265"/>
      <c r="K744" s="45"/>
      <c r="L744" s="243"/>
      <c r="M744" s="243"/>
      <c r="N744" s="265"/>
      <c r="O744" s="265"/>
      <c r="P744" s="265"/>
      <c r="Q744" s="266"/>
      <c r="R744" s="243"/>
    </row>
    <row r="745" spans="3:18" customFormat="1" x14ac:dyDescent="0.25">
      <c r="C745" s="243"/>
      <c r="D745" s="45"/>
      <c r="E745" s="45"/>
      <c r="F745" s="45"/>
      <c r="G745" s="45"/>
      <c r="H745" s="45"/>
      <c r="I745" s="265"/>
      <c r="J745" s="265"/>
      <c r="K745" s="45"/>
      <c r="L745" s="243"/>
      <c r="M745" s="243"/>
      <c r="N745" s="265"/>
      <c r="O745" s="265"/>
      <c r="P745" s="265"/>
      <c r="Q745" s="266"/>
      <c r="R745" s="243"/>
    </row>
    <row r="746" spans="3:18" customFormat="1" x14ac:dyDescent="0.25">
      <c r="C746" s="243"/>
      <c r="D746" s="45"/>
      <c r="E746" s="45"/>
      <c r="F746" s="45"/>
      <c r="G746" s="45"/>
      <c r="H746" s="45"/>
      <c r="I746" s="265"/>
      <c r="J746" s="265"/>
      <c r="K746" s="45"/>
      <c r="L746" s="243"/>
      <c r="M746" s="243"/>
      <c r="N746" s="265"/>
      <c r="O746" s="265"/>
      <c r="P746" s="265"/>
      <c r="Q746" s="266"/>
      <c r="R746" s="243"/>
    </row>
    <row r="747" spans="3:18" customFormat="1" x14ac:dyDescent="0.25">
      <c r="C747" s="243"/>
      <c r="D747" s="45"/>
      <c r="E747" s="45"/>
      <c r="F747" s="45"/>
      <c r="G747" s="45"/>
      <c r="H747" s="45"/>
      <c r="I747" s="265"/>
      <c r="J747" s="265"/>
      <c r="K747" s="45"/>
      <c r="L747" s="243"/>
      <c r="M747" s="243"/>
      <c r="N747" s="265"/>
      <c r="O747" s="265"/>
      <c r="P747" s="265"/>
      <c r="Q747" s="266"/>
      <c r="R747" s="243"/>
    </row>
    <row r="748" spans="3:18" customFormat="1" x14ac:dyDescent="0.25">
      <c r="C748" s="243"/>
      <c r="D748" s="45"/>
      <c r="E748" s="45"/>
      <c r="F748" s="45"/>
      <c r="G748" s="45"/>
      <c r="H748" s="45"/>
      <c r="I748" s="265"/>
      <c r="J748" s="265"/>
      <c r="K748" s="45"/>
      <c r="L748" s="243"/>
      <c r="M748" s="243"/>
      <c r="N748" s="265"/>
      <c r="O748" s="265"/>
      <c r="P748" s="265"/>
      <c r="Q748" s="266"/>
      <c r="R748" s="243"/>
    </row>
    <row r="749" spans="3:18" customFormat="1" x14ac:dyDescent="0.25">
      <c r="C749" s="243"/>
      <c r="D749" s="45"/>
      <c r="E749" s="45"/>
      <c r="F749" s="45"/>
      <c r="G749" s="45"/>
      <c r="H749" s="45"/>
      <c r="I749" s="265"/>
      <c r="J749" s="265"/>
      <c r="K749" s="45"/>
      <c r="L749" s="243"/>
      <c r="M749" s="243"/>
      <c r="N749" s="265"/>
      <c r="O749" s="265"/>
      <c r="P749" s="265"/>
      <c r="Q749" s="266"/>
      <c r="R749" s="243"/>
    </row>
    <row r="750" spans="3:18" customFormat="1" x14ac:dyDescent="0.25">
      <c r="C750" s="243"/>
      <c r="D750" s="45"/>
      <c r="E750" s="45"/>
      <c r="F750" s="45"/>
      <c r="G750" s="45"/>
      <c r="H750" s="45"/>
      <c r="I750" s="265"/>
      <c r="J750" s="265"/>
      <c r="K750" s="45"/>
      <c r="L750" s="243"/>
      <c r="M750" s="243"/>
      <c r="N750" s="265"/>
      <c r="O750" s="265"/>
      <c r="P750" s="265"/>
      <c r="Q750" s="266"/>
      <c r="R750" s="243"/>
    </row>
    <row r="751" spans="3:18" customFormat="1" x14ac:dyDescent="0.25">
      <c r="C751" s="243"/>
      <c r="D751" s="45"/>
      <c r="E751" s="45"/>
      <c r="F751" s="45"/>
      <c r="G751" s="45"/>
      <c r="H751" s="45"/>
      <c r="I751" s="265"/>
      <c r="J751" s="265"/>
      <c r="K751" s="45"/>
      <c r="L751" s="243"/>
      <c r="M751" s="243"/>
      <c r="N751" s="265"/>
      <c r="O751" s="265"/>
      <c r="P751" s="265"/>
      <c r="Q751" s="266"/>
      <c r="R751" s="243"/>
    </row>
    <row r="752" spans="3:18" customFormat="1" x14ac:dyDescent="0.25">
      <c r="C752" s="243"/>
      <c r="D752" s="45"/>
      <c r="E752" s="45"/>
      <c r="F752" s="45"/>
      <c r="G752" s="45"/>
      <c r="H752" s="45"/>
      <c r="I752" s="265"/>
      <c r="J752" s="265"/>
      <c r="K752" s="45"/>
      <c r="L752" s="243"/>
      <c r="M752" s="243"/>
      <c r="N752" s="265"/>
      <c r="O752" s="265"/>
      <c r="P752" s="265"/>
      <c r="Q752" s="266"/>
      <c r="R752" s="243"/>
    </row>
    <row r="753" spans="3:18" customFormat="1" x14ac:dyDescent="0.25">
      <c r="C753" s="243"/>
      <c r="D753" s="45"/>
      <c r="E753" s="45"/>
      <c r="F753" s="45"/>
      <c r="G753" s="45"/>
      <c r="H753" s="45"/>
      <c r="I753" s="265"/>
      <c r="J753" s="265"/>
      <c r="K753" s="45"/>
      <c r="L753" s="243"/>
      <c r="M753" s="243"/>
      <c r="N753" s="265"/>
      <c r="O753" s="265"/>
      <c r="P753" s="265"/>
      <c r="Q753" s="266"/>
      <c r="R753" s="243"/>
    </row>
    <row r="754" spans="3:18" customFormat="1" x14ac:dyDescent="0.25">
      <c r="C754" s="243"/>
      <c r="D754" s="45"/>
      <c r="E754" s="45"/>
      <c r="F754" s="45"/>
      <c r="G754" s="45"/>
      <c r="H754" s="45"/>
      <c r="I754" s="265"/>
      <c r="J754" s="265"/>
      <c r="K754" s="45"/>
      <c r="L754" s="243"/>
      <c r="M754" s="243"/>
      <c r="N754" s="265"/>
      <c r="O754" s="265"/>
      <c r="P754" s="265"/>
      <c r="Q754" s="266"/>
      <c r="R754" s="243"/>
    </row>
    <row r="755" spans="3:18" customFormat="1" x14ac:dyDescent="0.25">
      <c r="C755" s="243"/>
      <c r="D755" s="45"/>
      <c r="E755" s="45"/>
      <c r="F755" s="45"/>
      <c r="G755" s="45"/>
      <c r="H755" s="45"/>
      <c r="I755" s="265"/>
      <c r="J755" s="265"/>
      <c r="K755" s="45"/>
      <c r="L755" s="243"/>
      <c r="M755" s="243"/>
      <c r="N755" s="265"/>
      <c r="O755" s="265"/>
      <c r="P755" s="265"/>
      <c r="Q755" s="266"/>
      <c r="R755" s="243"/>
    </row>
    <row r="756" spans="3:18" customFormat="1" x14ac:dyDescent="0.25">
      <c r="C756" s="243"/>
      <c r="D756" s="45"/>
      <c r="E756" s="45"/>
      <c r="F756" s="45"/>
      <c r="G756" s="45"/>
      <c r="H756" s="45"/>
      <c r="I756" s="265"/>
      <c r="J756" s="265"/>
      <c r="K756" s="45"/>
      <c r="L756" s="243"/>
      <c r="M756" s="243"/>
      <c r="N756" s="265"/>
      <c r="O756" s="265"/>
      <c r="P756" s="265"/>
      <c r="Q756" s="266"/>
      <c r="R756" s="243"/>
    </row>
    <row r="757" spans="3:18" customFormat="1" x14ac:dyDescent="0.25">
      <c r="C757" s="243"/>
      <c r="D757" s="45"/>
      <c r="E757" s="45"/>
      <c r="F757" s="45"/>
      <c r="G757" s="45"/>
      <c r="H757" s="45"/>
      <c r="I757" s="265"/>
      <c r="J757" s="265"/>
      <c r="K757" s="45"/>
      <c r="L757" s="243"/>
      <c r="M757" s="243"/>
      <c r="N757" s="265"/>
      <c r="O757" s="265"/>
      <c r="P757" s="265"/>
      <c r="Q757" s="266"/>
      <c r="R757" s="243"/>
    </row>
    <row r="758" spans="3:18" customFormat="1" x14ac:dyDescent="0.25">
      <c r="C758" s="243"/>
      <c r="D758" s="45"/>
      <c r="E758" s="45"/>
      <c r="F758" s="45"/>
      <c r="G758" s="45"/>
      <c r="H758" s="45"/>
      <c r="I758" s="265"/>
      <c r="J758" s="265"/>
      <c r="K758" s="45"/>
      <c r="L758" s="243"/>
      <c r="M758" s="243"/>
      <c r="N758" s="265"/>
      <c r="O758" s="265"/>
      <c r="P758" s="265"/>
      <c r="Q758" s="266"/>
      <c r="R758" s="243"/>
    </row>
    <row r="759" spans="3:18" customFormat="1" x14ac:dyDescent="0.25">
      <c r="C759" s="243"/>
      <c r="D759" s="45"/>
      <c r="E759" s="45"/>
      <c r="F759" s="45"/>
      <c r="G759" s="45"/>
      <c r="H759" s="45"/>
      <c r="I759" s="265"/>
      <c r="J759" s="265"/>
      <c r="K759" s="45"/>
      <c r="L759" s="243"/>
      <c r="M759" s="243"/>
      <c r="N759" s="265"/>
      <c r="O759" s="265"/>
      <c r="P759" s="265"/>
      <c r="Q759" s="266"/>
      <c r="R759" s="243"/>
    </row>
    <row r="760" spans="3:18" customFormat="1" x14ac:dyDescent="0.25">
      <c r="C760" s="243"/>
      <c r="D760" s="45"/>
      <c r="E760" s="45"/>
      <c r="F760" s="45"/>
      <c r="G760" s="45"/>
      <c r="H760" s="45"/>
      <c r="I760" s="265"/>
      <c r="J760" s="265"/>
      <c r="K760" s="45"/>
      <c r="L760" s="243"/>
      <c r="M760" s="243"/>
      <c r="N760" s="265"/>
      <c r="O760" s="265"/>
      <c r="P760" s="265"/>
      <c r="Q760" s="266"/>
      <c r="R760" s="243"/>
    </row>
    <row r="761" spans="3:18" customFormat="1" x14ac:dyDescent="0.25">
      <c r="C761" s="243"/>
      <c r="D761" s="45"/>
      <c r="E761" s="45"/>
      <c r="F761" s="45"/>
      <c r="G761" s="45"/>
      <c r="H761" s="45"/>
      <c r="I761" s="265"/>
      <c r="J761" s="265"/>
      <c r="K761" s="45"/>
      <c r="L761" s="243"/>
      <c r="M761" s="243"/>
      <c r="N761" s="265"/>
      <c r="O761" s="265"/>
      <c r="P761" s="265"/>
      <c r="Q761" s="266"/>
      <c r="R761" s="243"/>
    </row>
    <row r="762" spans="3:18" customFormat="1" x14ac:dyDescent="0.25">
      <c r="C762" s="243"/>
      <c r="D762" s="45"/>
      <c r="E762" s="45"/>
      <c r="F762" s="45"/>
      <c r="G762" s="45"/>
      <c r="H762" s="45"/>
      <c r="I762" s="265"/>
      <c r="J762" s="265"/>
      <c r="K762" s="45"/>
      <c r="L762" s="243"/>
      <c r="M762" s="243"/>
      <c r="N762" s="265"/>
      <c r="O762" s="265"/>
      <c r="P762" s="265"/>
      <c r="Q762" s="266"/>
      <c r="R762" s="243"/>
    </row>
    <row r="763" spans="3:18" customFormat="1" x14ac:dyDescent="0.25">
      <c r="C763" s="243"/>
      <c r="D763" s="45"/>
      <c r="E763" s="45"/>
      <c r="F763" s="45"/>
      <c r="G763" s="45"/>
      <c r="H763" s="45"/>
      <c r="I763" s="265"/>
      <c r="J763" s="265"/>
      <c r="K763" s="45"/>
      <c r="L763" s="243"/>
      <c r="M763" s="243"/>
      <c r="N763" s="265"/>
      <c r="O763" s="265"/>
      <c r="P763" s="265"/>
      <c r="Q763" s="266"/>
      <c r="R763" s="243"/>
    </row>
    <row r="764" spans="3:18" customFormat="1" x14ac:dyDescent="0.25">
      <c r="C764" s="243"/>
      <c r="D764" s="45"/>
      <c r="E764" s="45"/>
      <c r="F764" s="45"/>
      <c r="G764" s="45"/>
      <c r="H764" s="45"/>
      <c r="I764" s="265"/>
      <c r="J764" s="265"/>
      <c r="K764" s="45"/>
      <c r="L764" s="243"/>
      <c r="M764" s="243"/>
      <c r="N764" s="265"/>
      <c r="O764" s="265"/>
      <c r="P764" s="265"/>
      <c r="Q764" s="266"/>
      <c r="R764" s="243"/>
    </row>
    <row r="765" spans="3:18" customFormat="1" x14ac:dyDescent="0.25">
      <c r="C765" s="243"/>
      <c r="D765" s="45"/>
      <c r="E765" s="45"/>
      <c r="F765" s="45"/>
      <c r="G765" s="45"/>
      <c r="H765" s="45"/>
      <c r="I765" s="265"/>
      <c r="J765" s="265"/>
      <c r="K765" s="45"/>
      <c r="L765" s="243"/>
      <c r="M765" s="243"/>
      <c r="N765" s="265"/>
      <c r="O765" s="265"/>
      <c r="P765" s="265"/>
      <c r="Q765" s="266"/>
      <c r="R765" s="243"/>
    </row>
    <row r="766" spans="3:18" customFormat="1" x14ac:dyDescent="0.25">
      <c r="C766" s="243"/>
      <c r="D766" s="45"/>
      <c r="E766" s="45"/>
      <c r="F766" s="45"/>
      <c r="G766" s="45"/>
      <c r="H766" s="45"/>
      <c r="I766" s="265"/>
      <c r="J766" s="265"/>
      <c r="K766" s="45"/>
      <c r="L766" s="243"/>
      <c r="M766" s="243"/>
      <c r="N766" s="265"/>
      <c r="O766" s="265"/>
      <c r="P766" s="265"/>
      <c r="Q766" s="266"/>
      <c r="R766" s="243"/>
    </row>
    <row r="767" spans="3:18" customFormat="1" x14ac:dyDescent="0.25">
      <c r="C767" s="243"/>
      <c r="D767" s="45"/>
      <c r="E767" s="45"/>
      <c r="F767" s="45"/>
      <c r="G767" s="45"/>
      <c r="H767" s="45"/>
      <c r="I767" s="265"/>
      <c r="J767" s="265"/>
      <c r="K767" s="45"/>
      <c r="L767" s="243"/>
      <c r="M767" s="243"/>
      <c r="N767" s="265"/>
      <c r="O767" s="265"/>
      <c r="P767" s="265"/>
      <c r="Q767" s="266"/>
      <c r="R767" s="243"/>
    </row>
    <row r="768" spans="3:18" customFormat="1" x14ac:dyDescent="0.25">
      <c r="C768" s="243"/>
      <c r="D768" s="45"/>
      <c r="E768" s="45"/>
      <c r="F768" s="45"/>
      <c r="G768" s="45"/>
      <c r="H768" s="45"/>
      <c r="I768" s="265"/>
      <c r="J768" s="265"/>
      <c r="K768" s="45"/>
      <c r="L768" s="243"/>
      <c r="M768" s="243"/>
      <c r="N768" s="265"/>
      <c r="O768" s="265"/>
      <c r="P768" s="265"/>
      <c r="Q768" s="266"/>
      <c r="R768" s="243"/>
    </row>
    <row r="769" spans="3:18" customFormat="1" x14ac:dyDescent="0.25">
      <c r="C769" s="243"/>
      <c r="D769" s="45"/>
      <c r="E769" s="45"/>
      <c r="F769" s="45"/>
      <c r="G769" s="45"/>
      <c r="H769" s="45"/>
      <c r="I769" s="265"/>
      <c r="J769" s="265"/>
      <c r="K769" s="45"/>
      <c r="L769" s="243"/>
      <c r="M769" s="243"/>
      <c r="N769" s="265"/>
      <c r="O769" s="265"/>
      <c r="P769" s="265"/>
      <c r="Q769" s="266"/>
      <c r="R769" s="243"/>
    </row>
    <row r="770" spans="3:18" customFormat="1" x14ac:dyDescent="0.25">
      <c r="C770" s="243"/>
      <c r="D770" s="45"/>
      <c r="E770" s="45"/>
      <c r="F770" s="45"/>
      <c r="G770" s="45"/>
      <c r="H770" s="45"/>
      <c r="I770" s="265"/>
      <c r="J770" s="265"/>
      <c r="K770" s="45"/>
      <c r="L770" s="243"/>
      <c r="M770" s="243"/>
      <c r="N770" s="265"/>
      <c r="O770" s="265"/>
      <c r="P770" s="265"/>
      <c r="Q770" s="266"/>
      <c r="R770" s="243"/>
    </row>
    <row r="771" spans="3:18" customFormat="1" x14ac:dyDescent="0.25">
      <c r="C771" s="243"/>
      <c r="D771" s="45"/>
      <c r="E771" s="45"/>
      <c r="F771" s="45"/>
      <c r="G771" s="45"/>
      <c r="H771" s="45"/>
      <c r="I771" s="265"/>
      <c r="J771" s="265"/>
      <c r="K771" s="45"/>
      <c r="L771" s="243"/>
      <c r="M771" s="243"/>
      <c r="N771" s="265"/>
      <c r="O771" s="265"/>
      <c r="P771" s="265"/>
      <c r="Q771" s="266"/>
      <c r="R771" s="243"/>
    </row>
    <row r="772" spans="3:18" customFormat="1" x14ac:dyDescent="0.25">
      <c r="C772" s="243"/>
      <c r="D772" s="45"/>
      <c r="E772" s="45"/>
      <c r="F772" s="45"/>
      <c r="G772" s="45"/>
      <c r="H772" s="45"/>
      <c r="I772" s="265"/>
      <c r="J772" s="265"/>
      <c r="K772" s="45"/>
      <c r="L772" s="243"/>
      <c r="M772" s="243"/>
      <c r="N772" s="265"/>
      <c r="O772" s="265"/>
      <c r="P772" s="265"/>
      <c r="Q772" s="266"/>
      <c r="R772" s="243"/>
    </row>
    <row r="773" spans="3:18" customFormat="1" x14ac:dyDescent="0.25">
      <c r="C773" s="243"/>
      <c r="D773" s="45"/>
      <c r="E773" s="45"/>
      <c r="F773" s="45"/>
      <c r="G773" s="45"/>
      <c r="H773" s="45"/>
      <c r="I773" s="265"/>
      <c r="J773" s="265"/>
      <c r="K773" s="45"/>
      <c r="L773" s="243"/>
      <c r="M773" s="243"/>
      <c r="N773" s="265"/>
      <c r="O773" s="265"/>
      <c r="P773" s="265"/>
      <c r="Q773" s="266"/>
      <c r="R773" s="243"/>
    </row>
    <row r="774" spans="3:18" customFormat="1" x14ac:dyDescent="0.25">
      <c r="C774" s="243"/>
      <c r="D774" s="45"/>
      <c r="E774" s="45"/>
      <c r="F774" s="45"/>
      <c r="G774" s="45"/>
      <c r="H774" s="45"/>
      <c r="I774" s="265"/>
      <c r="J774" s="265"/>
      <c r="K774" s="45"/>
      <c r="L774" s="243"/>
      <c r="M774" s="243"/>
      <c r="N774" s="265"/>
      <c r="O774" s="265"/>
      <c r="P774" s="265"/>
      <c r="Q774" s="266"/>
      <c r="R774" s="243"/>
    </row>
    <row r="775" spans="3:18" customFormat="1" x14ac:dyDescent="0.25">
      <c r="C775" s="243"/>
      <c r="D775" s="45"/>
      <c r="E775" s="45"/>
      <c r="F775" s="45"/>
      <c r="G775" s="45"/>
      <c r="H775" s="45"/>
      <c r="I775" s="265"/>
      <c r="J775" s="265"/>
      <c r="K775" s="45"/>
      <c r="L775" s="243"/>
      <c r="M775" s="243"/>
      <c r="N775" s="265"/>
      <c r="O775" s="265"/>
      <c r="P775" s="265"/>
      <c r="Q775" s="266"/>
      <c r="R775" s="243"/>
    </row>
    <row r="776" spans="3:18" customFormat="1" x14ac:dyDescent="0.25">
      <c r="C776" s="243"/>
      <c r="D776" s="45"/>
      <c r="E776" s="45"/>
      <c r="F776" s="45"/>
      <c r="G776" s="45"/>
      <c r="H776" s="45"/>
      <c r="I776" s="265"/>
      <c r="J776" s="265"/>
      <c r="K776" s="45"/>
      <c r="L776" s="243"/>
      <c r="M776" s="243"/>
      <c r="N776" s="265"/>
      <c r="O776" s="265"/>
      <c r="P776" s="265"/>
      <c r="Q776" s="266"/>
      <c r="R776" s="243"/>
    </row>
    <row r="777" spans="3:18" customFormat="1" x14ac:dyDescent="0.25">
      <c r="C777" s="243"/>
      <c r="D777" s="45"/>
      <c r="E777" s="45"/>
      <c r="F777" s="45"/>
      <c r="G777" s="45"/>
      <c r="H777" s="45"/>
      <c r="I777" s="265"/>
      <c r="J777" s="265"/>
      <c r="K777" s="45"/>
      <c r="L777" s="243"/>
      <c r="M777" s="243"/>
      <c r="N777" s="265"/>
      <c r="O777" s="265"/>
      <c r="P777" s="265"/>
      <c r="Q777" s="266"/>
      <c r="R777" s="243"/>
    </row>
    <row r="778" spans="3:18" customFormat="1" x14ac:dyDescent="0.25">
      <c r="C778" s="243"/>
      <c r="D778" s="45"/>
      <c r="E778" s="45"/>
      <c r="F778" s="45"/>
      <c r="G778" s="45"/>
      <c r="H778" s="45"/>
      <c r="I778" s="265"/>
      <c r="J778" s="265"/>
      <c r="K778" s="45"/>
      <c r="L778" s="243"/>
      <c r="M778" s="243"/>
      <c r="N778" s="265"/>
      <c r="O778" s="265"/>
      <c r="P778" s="265"/>
      <c r="Q778" s="266"/>
      <c r="R778" s="243"/>
    </row>
    <row r="779" spans="3:18" customFormat="1" x14ac:dyDescent="0.25">
      <c r="C779" s="243"/>
      <c r="D779" s="45"/>
      <c r="E779" s="45"/>
      <c r="F779" s="45"/>
      <c r="G779" s="45"/>
      <c r="H779" s="45"/>
      <c r="I779" s="265"/>
      <c r="J779" s="265"/>
      <c r="K779" s="45"/>
      <c r="L779" s="243"/>
      <c r="M779" s="243"/>
      <c r="N779" s="265"/>
      <c r="O779" s="265"/>
      <c r="P779" s="265"/>
      <c r="Q779" s="266"/>
      <c r="R779" s="243"/>
    </row>
    <row r="780" spans="3:18" customFormat="1" x14ac:dyDescent="0.25">
      <c r="C780" s="243"/>
      <c r="D780" s="45"/>
      <c r="E780" s="45"/>
      <c r="F780" s="45"/>
      <c r="G780" s="45"/>
      <c r="H780" s="45"/>
      <c r="I780" s="265"/>
      <c r="J780" s="265"/>
      <c r="K780" s="45"/>
      <c r="L780" s="243"/>
      <c r="M780" s="243"/>
      <c r="N780" s="265"/>
      <c r="O780" s="265"/>
      <c r="P780" s="265"/>
      <c r="Q780" s="266"/>
      <c r="R780" s="243"/>
    </row>
    <row r="781" spans="3:18" customFormat="1" x14ac:dyDescent="0.25">
      <c r="C781" s="243"/>
      <c r="D781" s="45"/>
      <c r="E781" s="45"/>
      <c r="F781" s="45"/>
      <c r="G781" s="45"/>
      <c r="H781" s="45"/>
      <c r="I781" s="265"/>
      <c r="J781" s="265"/>
      <c r="K781" s="45"/>
      <c r="L781" s="243"/>
      <c r="M781" s="243"/>
      <c r="N781" s="265"/>
      <c r="O781" s="265"/>
      <c r="P781" s="265"/>
      <c r="Q781" s="266"/>
      <c r="R781" s="243"/>
    </row>
    <row r="782" spans="3:18" customFormat="1" x14ac:dyDescent="0.25">
      <c r="C782" s="243"/>
      <c r="D782" s="45"/>
      <c r="E782" s="45"/>
      <c r="F782" s="45"/>
      <c r="G782" s="45"/>
      <c r="H782" s="45"/>
      <c r="I782" s="265"/>
      <c r="J782" s="265"/>
      <c r="K782" s="45"/>
      <c r="L782" s="243"/>
      <c r="M782" s="243"/>
      <c r="N782" s="265"/>
      <c r="O782" s="265"/>
      <c r="P782" s="265"/>
      <c r="Q782" s="266"/>
      <c r="R782" s="243"/>
    </row>
    <row r="783" spans="3:18" customFormat="1" x14ac:dyDescent="0.25">
      <c r="C783" s="243"/>
      <c r="D783" s="45"/>
      <c r="E783" s="45"/>
      <c r="F783" s="45"/>
      <c r="G783" s="45"/>
      <c r="H783" s="45"/>
      <c r="I783" s="265"/>
      <c r="J783" s="265"/>
      <c r="K783" s="45"/>
      <c r="L783" s="243"/>
      <c r="M783" s="243"/>
      <c r="N783" s="265"/>
      <c r="O783" s="265"/>
      <c r="P783" s="265"/>
      <c r="Q783" s="266"/>
      <c r="R783" s="243"/>
    </row>
    <row r="784" spans="3:18" customFormat="1" x14ac:dyDescent="0.25">
      <c r="C784" s="243"/>
      <c r="D784" s="45"/>
      <c r="E784" s="45"/>
      <c r="F784" s="45"/>
      <c r="G784" s="45"/>
      <c r="H784" s="45"/>
      <c r="I784" s="265"/>
      <c r="J784" s="265"/>
      <c r="K784" s="45"/>
      <c r="L784" s="243"/>
      <c r="M784" s="243"/>
      <c r="N784" s="265"/>
      <c r="O784" s="265"/>
      <c r="P784" s="265"/>
      <c r="Q784" s="266"/>
      <c r="R784" s="243"/>
    </row>
    <row r="785" spans="3:18" customFormat="1" x14ac:dyDescent="0.25">
      <c r="C785" s="243"/>
      <c r="D785" s="45"/>
      <c r="E785" s="45"/>
      <c r="F785" s="45"/>
      <c r="G785" s="45"/>
      <c r="H785" s="45"/>
      <c r="I785" s="265"/>
      <c r="J785" s="265"/>
      <c r="K785" s="45"/>
      <c r="L785" s="243"/>
      <c r="M785" s="243"/>
      <c r="N785" s="265"/>
      <c r="O785" s="265"/>
      <c r="P785" s="265"/>
      <c r="Q785" s="266"/>
      <c r="R785" s="243"/>
    </row>
    <row r="786" spans="3:18" customFormat="1" x14ac:dyDescent="0.25">
      <c r="C786" s="243"/>
      <c r="D786" s="45"/>
      <c r="E786" s="45"/>
      <c r="F786" s="45"/>
      <c r="G786" s="45"/>
      <c r="H786" s="45"/>
      <c r="I786" s="265"/>
      <c r="J786" s="265"/>
      <c r="K786" s="45"/>
      <c r="L786" s="243"/>
      <c r="M786" s="243"/>
      <c r="N786" s="265"/>
      <c r="O786" s="265"/>
      <c r="P786" s="265"/>
      <c r="Q786" s="266"/>
      <c r="R786" s="243"/>
    </row>
    <row r="787" spans="3:18" customFormat="1" x14ac:dyDescent="0.25">
      <c r="C787" s="243"/>
      <c r="D787" s="45"/>
      <c r="E787" s="45"/>
      <c r="F787" s="45"/>
      <c r="G787" s="45"/>
      <c r="H787" s="45"/>
      <c r="I787" s="265"/>
      <c r="J787" s="265"/>
      <c r="K787" s="45"/>
      <c r="L787" s="243"/>
      <c r="M787" s="243"/>
      <c r="N787" s="265"/>
      <c r="O787" s="265"/>
      <c r="P787" s="265"/>
      <c r="Q787" s="266"/>
      <c r="R787" s="243"/>
    </row>
    <row r="788" spans="3:18" customFormat="1" x14ac:dyDescent="0.25">
      <c r="C788" s="243"/>
      <c r="D788" s="45"/>
      <c r="E788" s="45"/>
      <c r="F788" s="45"/>
      <c r="G788" s="45"/>
      <c r="H788" s="45"/>
      <c r="I788" s="265"/>
      <c r="J788" s="265"/>
      <c r="K788" s="45"/>
      <c r="L788" s="243"/>
      <c r="M788" s="243"/>
      <c r="N788" s="265"/>
      <c r="O788" s="265"/>
      <c r="P788" s="265"/>
      <c r="Q788" s="266"/>
      <c r="R788" s="243"/>
    </row>
    <row r="789" spans="3:18" customFormat="1" x14ac:dyDescent="0.25">
      <c r="C789" s="243"/>
      <c r="D789" s="45"/>
      <c r="E789" s="45"/>
      <c r="F789" s="45"/>
      <c r="G789" s="45"/>
      <c r="H789" s="45"/>
      <c r="I789" s="265"/>
      <c r="J789" s="265"/>
      <c r="K789" s="45"/>
      <c r="L789" s="243"/>
      <c r="M789" s="243"/>
      <c r="N789" s="265"/>
      <c r="O789" s="265"/>
      <c r="P789" s="265"/>
      <c r="Q789" s="266"/>
      <c r="R789" s="243"/>
    </row>
    <row r="790" spans="3:18" customFormat="1" x14ac:dyDescent="0.25">
      <c r="C790" s="243"/>
      <c r="D790" s="45"/>
      <c r="E790" s="45"/>
      <c r="F790" s="45"/>
      <c r="G790" s="45"/>
      <c r="H790" s="45"/>
      <c r="I790" s="265"/>
      <c r="J790" s="265"/>
      <c r="K790" s="45"/>
      <c r="L790" s="243"/>
      <c r="M790" s="243"/>
      <c r="N790" s="265"/>
      <c r="O790" s="265"/>
      <c r="P790" s="265"/>
      <c r="Q790" s="266"/>
      <c r="R790" s="243"/>
    </row>
    <row r="791" spans="3:18" customFormat="1" x14ac:dyDescent="0.25">
      <c r="C791" s="243"/>
      <c r="D791" s="45"/>
      <c r="E791" s="45"/>
      <c r="F791" s="45"/>
      <c r="G791" s="45"/>
      <c r="H791" s="45"/>
      <c r="I791" s="265"/>
      <c r="J791" s="265"/>
      <c r="K791" s="45"/>
      <c r="L791" s="243"/>
      <c r="M791" s="243"/>
      <c r="N791" s="265"/>
      <c r="O791" s="265"/>
      <c r="P791" s="265"/>
      <c r="Q791" s="266"/>
      <c r="R791" s="243"/>
    </row>
    <row r="792" spans="3:18" customFormat="1" x14ac:dyDescent="0.25">
      <c r="C792" s="243"/>
      <c r="D792" s="45"/>
      <c r="E792" s="45"/>
      <c r="F792" s="45"/>
      <c r="G792" s="45"/>
      <c r="H792" s="45"/>
      <c r="I792" s="265"/>
      <c r="J792" s="265"/>
      <c r="K792" s="45"/>
      <c r="L792" s="243"/>
      <c r="M792" s="243"/>
      <c r="N792" s="265"/>
      <c r="O792" s="265"/>
      <c r="P792" s="265"/>
      <c r="Q792" s="266"/>
      <c r="R792" s="243"/>
    </row>
    <row r="793" spans="3:18" customFormat="1" x14ac:dyDescent="0.25">
      <c r="C793" s="243"/>
      <c r="D793" s="45"/>
      <c r="E793" s="45"/>
      <c r="F793" s="45"/>
      <c r="G793" s="45"/>
      <c r="H793" s="45"/>
      <c r="I793" s="265"/>
      <c r="J793" s="265"/>
      <c r="K793" s="45"/>
      <c r="L793" s="243"/>
      <c r="M793" s="243"/>
      <c r="N793" s="265"/>
      <c r="O793" s="265"/>
      <c r="P793" s="265"/>
      <c r="Q793" s="266"/>
      <c r="R793" s="243"/>
    </row>
    <row r="794" spans="3:18" customFormat="1" x14ac:dyDescent="0.25">
      <c r="C794" s="243"/>
      <c r="D794" s="45"/>
      <c r="E794" s="45"/>
      <c r="F794" s="45"/>
      <c r="G794" s="45"/>
      <c r="H794" s="45"/>
      <c r="I794" s="265"/>
      <c r="J794" s="265"/>
      <c r="K794" s="45"/>
      <c r="L794" s="243"/>
      <c r="M794" s="243"/>
      <c r="N794" s="265"/>
      <c r="O794" s="265"/>
      <c r="P794" s="265"/>
      <c r="Q794" s="266"/>
      <c r="R794" s="243"/>
    </row>
    <row r="795" spans="3:18" customFormat="1" x14ac:dyDescent="0.25">
      <c r="C795" s="243"/>
      <c r="D795" s="45"/>
      <c r="E795" s="45"/>
      <c r="F795" s="45"/>
      <c r="G795" s="45"/>
      <c r="H795" s="45"/>
      <c r="I795" s="265"/>
      <c r="J795" s="265"/>
      <c r="K795" s="45"/>
      <c r="L795" s="243"/>
      <c r="M795" s="243"/>
      <c r="N795" s="265"/>
      <c r="O795" s="265"/>
      <c r="P795" s="265"/>
      <c r="Q795" s="266"/>
      <c r="R795" s="243"/>
    </row>
    <row r="796" spans="3:18" customFormat="1" x14ac:dyDescent="0.25">
      <c r="C796" s="243"/>
      <c r="D796" s="45"/>
      <c r="E796" s="45"/>
      <c r="F796" s="45"/>
      <c r="G796" s="45"/>
      <c r="H796" s="45"/>
      <c r="I796" s="265"/>
      <c r="J796" s="265"/>
      <c r="K796" s="45"/>
      <c r="L796" s="243"/>
      <c r="M796" s="243"/>
      <c r="N796" s="265"/>
      <c r="O796" s="265"/>
      <c r="P796" s="265"/>
      <c r="Q796" s="266"/>
      <c r="R796" s="243"/>
    </row>
    <row r="797" spans="3:18" customFormat="1" x14ac:dyDescent="0.25">
      <c r="C797" s="243"/>
      <c r="D797" s="45"/>
      <c r="E797" s="45"/>
      <c r="F797" s="45"/>
      <c r="G797" s="45"/>
      <c r="H797" s="45"/>
      <c r="I797" s="265"/>
      <c r="J797" s="265"/>
      <c r="K797" s="45"/>
      <c r="L797" s="243"/>
      <c r="M797" s="243"/>
      <c r="N797" s="265"/>
      <c r="O797" s="265"/>
      <c r="P797" s="265"/>
      <c r="Q797" s="266"/>
      <c r="R797" s="243"/>
    </row>
    <row r="798" spans="3:18" customFormat="1" x14ac:dyDescent="0.25">
      <c r="C798" s="243"/>
      <c r="D798" s="45"/>
      <c r="E798" s="45"/>
      <c r="F798" s="45"/>
      <c r="G798" s="45"/>
      <c r="H798" s="45"/>
      <c r="I798" s="265"/>
      <c r="J798" s="265"/>
      <c r="K798" s="45"/>
      <c r="L798" s="243"/>
      <c r="M798" s="243"/>
      <c r="N798" s="265"/>
      <c r="O798" s="265"/>
      <c r="P798" s="265"/>
      <c r="Q798" s="266"/>
      <c r="R798" s="243"/>
    </row>
    <row r="799" spans="3:18" customFormat="1" x14ac:dyDescent="0.25">
      <c r="C799" s="243"/>
      <c r="D799" s="45"/>
      <c r="E799" s="45"/>
      <c r="F799" s="45"/>
      <c r="G799" s="45"/>
      <c r="H799" s="45"/>
      <c r="I799" s="265"/>
      <c r="J799" s="265"/>
      <c r="K799" s="45"/>
      <c r="L799" s="243"/>
      <c r="M799" s="243"/>
      <c r="N799" s="265"/>
      <c r="O799" s="265"/>
      <c r="P799" s="265"/>
      <c r="Q799" s="266"/>
      <c r="R799" s="243"/>
    </row>
    <row r="800" spans="3:18" customFormat="1" x14ac:dyDescent="0.25">
      <c r="C800" s="243"/>
      <c r="D800" s="45"/>
      <c r="E800" s="45"/>
      <c r="F800" s="45"/>
      <c r="G800" s="45"/>
      <c r="H800" s="45"/>
      <c r="I800" s="265"/>
      <c r="J800" s="265"/>
      <c r="K800" s="45"/>
      <c r="L800" s="243"/>
      <c r="M800" s="243"/>
      <c r="N800" s="265"/>
      <c r="O800" s="265"/>
      <c r="P800" s="265"/>
      <c r="Q800" s="266"/>
      <c r="R800" s="243"/>
    </row>
    <row r="801" spans="3:18" customFormat="1" x14ac:dyDescent="0.25">
      <c r="C801" s="243"/>
      <c r="D801" s="45"/>
      <c r="E801" s="45"/>
      <c r="F801" s="45"/>
      <c r="G801" s="45"/>
      <c r="H801" s="45"/>
      <c r="I801" s="265"/>
      <c r="J801" s="265"/>
      <c r="K801" s="45"/>
      <c r="L801" s="243"/>
      <c r="M801" s="243"/>
      <c r="N801" s="265"/>
      <c r="O801" s="265"/>
      <c r="P801" s="265"/>
      <c r="Q801" s="266"/>
      <c r="R801" s="243"/>
    </row>
    <row r="802" spans="3:18" customFormat="1" x14ac:dyDescent="0.25">
      <c r="C802" s="243"/>
      <c r="D802" s="45"/>
      <c r="E802" s="45"/>
      <c r="F802" s="45"/>
      <c r="G802" s="45"/>
      <c r="H802" s="45"/>
      <c r="I802" s="265"/>
      <c r="J802" s="265"/>
      <c r="K802" s="45"/>
      <c r="L802" s="243"/>
      <c r="M802" s="243"/>
      <c r="N802" s="265"/>
      <c r="O802" s="265"/>
      <c r="P802" s="265"/>
      <c r="Q802" s="266"/>
      <c r="R802" s="243"/>
    </row>
    <row r="803" spans="3:18" customFormat="1" x14ac:dyDescent="0.25">
      <c r="C803" s="243"/>
      <c r="D803" s="45"/>
      <c r="E803" s="45"/>
      <c r="F803" s="45"/>
      <c r="G803" s="45"/>
      <c r="H803" s="45"/>
      <c r="I803" s="265"/>
      <c r="J803" s="265"/>
      <c r="K803" s="45"/>
      <c r="L803" s="243"/>
      <c r="M803" s="243"/>
      <c r="N803" s="265"/>
      <c r="O803" s="265"/>
      <c r="P803" s="265"/>
      <c r="Q803" s="266"/>
      <c r="R803" s="243"/>
    </row>
    <row r="804" spans="3:18" customFormat="1" x14ac:dyDescent="0.25">
      <c r="C804" s="243"/>
      <c r="D804" s="45"/>
      <c r="E804" s="45"/>
      <c r="F804" s="45"/>
      <c r="G804" s="45"/>
      <c r="H804" s="45"/>
      <c r="I804" s="265"/>
      <c r="J804" s="265"/>
      <c r="K804" s="45"/>
      <c r="L804" s="243"/>
      <c r="M804" s="243"/>
      <c r="N804" s="265"/>
      <c r="O804" s="265"/>
      <c r="P804" s="265"/>
      <c r="Q804" s="266"/>
      <c r="R804" s="243"/>
    </row>
    <row r="805" spans="3:18" customFormat="1" x14ac:dyDescent="0.25">
      <c r="C805" s="243"/>
      <c r="D805" s="45"/>
      <c r="E805" s="45"/>
      <c r="F805" s="45"/>
      <c r="G805" s="45"/>
      <c r="H805" s="45"/>
      <c r="I805" s="265"/>
      <c r="J805" s="265"/>
      <c r="K805" s="45"/>
      <c r="L805" s="243"/>
      <c r="M805" s="243"/>
      <c r="N805" s="265"/>
      <c r="O805" s="265"/>
      <c r="P805" s="265"/>
      <c r="Q805" s="266"/>
      <c r="R805" s="243"/>
    </row>
    <row r="806" spans="3:18" customFormat="1" x14ac:dyDescent="0.25">
      <c r="C806" s="243"/>
      <c r="D806" s="45"/>
      <c r="E806" s="45"/>
      <c r="F806" s="45"/>
      <c r="G806" s="45"/>
      <c r="H806" s="45"/>
      <c r="I806" s="265"/>
      <c r="J806" s="265"/>
      <c r="K806" s="45"/>
      <c r="L806" s="243"/>
      <c r="M806" s="243"/>
      <c r="N806" s="265"/>
      <c r="O806" s="265"/>
      <c r="P806" s="265"/>
      <c r="Q806" s="266"/>
      <c r="R806" s="243"/>
    </row>
    <row r="807" spans="3:18" customFormat="1" x14ac:dyDescent="0.25">
      <c r="C807" s="243"/>
      <c r="D807" s="45"/>
      <c r="E807" s="45"/>
      <c r="F807" s="45"/>
      <c r="G807" s="45"/>
      <c r="H807" s="45"/>
      <c r="I807" s="265"/>
      <c r="J807" s="265"/>
      <c r="K807" s="45"/>
      <c r="L807" s="243"/>
      <c r="M807" s="243"/>
      <c r="N807" s="265"/>
      <c r="O807" s="265"/>
      <c r="P807" s="265"/>
      <c r="Q807" s="266"/>
      <c r="R807" s="243"/>
    </row>
    <row r="808" spans="3:18" customFormat="1" x14ac:dyDescent="0.25">
      <c r="C808" s="243"/>
      <c r="D808" s="45"/>
      <c r="E808" s="45"/>
      <c r="F808" s="45"/>
      <c r="G808" s="45"/>
      <c r="H808" s="45"/>
      <c r="I808" s="265"/>
      <c r="J808" s="265"/>
      <c r="K808" s="45"/>
      <c r="L808" s="243"/>
      <c r="M808" s="243"/>
      <c r="N808" s="265"/>
      <c r="O808" s="265"/>
      <c r="P808" s="265"/>
      <c r="Q808" s="266"/>
      <c r="R808" s="243"/>
    </row>
    <row r="809" spans="3:18" customFormat="1" x14ac:dyDescent="0.25">
      <c r="C809" s="243"/>
      <c r="D809" s="45"/>
      <c r="E809" s="45"/>
      <c r="F809" s="45"/>
      <c r="G809" s="45"/>
      <c r="H809" s="45"/>
      <c r="I809" s="265"/>
      <c r="J809" s="265"/>
      <c r="K809" s="45"/>
      <c r="L809" s="243"/>
      <c r="M809" s="243"/>
      <c r="N809" s="265"/>
      <c r="O809" s="265"/>
      <c r="P809" s="265"/>
      <c r="Q809" s="266"/>
      <c r="R809" s="243"/>
    </row>
    <row r="810" spans="3:18" customFormat="1" x14ac:dyDescent="0.25">
      <c r="C810" s="243"/>
      <c r="D810" s="45"/>
      <c r="E810" s="45"/>
      <c r="F810" s="45"/>
      <c r="G810" s="45"/>
      <c r="H810" s="45"/>
      <c r="I810" s="265"/>
      <c r="J810" s="265"/>
      <c r="K810" s="45"/>
      <c r="L810" s="243"/>
      <c r="M810" s="243"/>
      <c r="N810" s="265"/>
      <c r="O810" s="265"/>
      <c r="P810" s="265"/>
      <c r="Q810" s="266"/>
      <c r="R810" s="243"/>
    </row>
    <row r="811" spans="3:18" customFormat="1" x14ac:dyDescent="0.25">
      <c r="C811" s="243"/>
      <c r="D811" s="45"/>
      <c r="E811" s="45"/>
      <c r="F811" s="45"/>
      <c r="G811" s="45"/>
      <c r="H811" s="45"/>
      <c r="I811" s="265"/>
      <c r="J811" s="265"/>
      <c r="K811" s="45"/>
      <c r="L811" s="243"/>
      <c r="M811" s="243"/>
      <c r="N811" s="265"/>
      <c r="O811" s="265"/>
      <c r="P811" s="265"/>
      <c r="Q811" s="266"/>
      <c r="R811" s="243"/>
    </row>
    <row r="812" spans="3:18" customFormat="1" x14ac:dyDescent="0.25">
      <c r="C812" s="243"/>
      <c r="D812" s="45"/>
      <c r="E812" s="45"/>
      <c r="F812" s="45"/>
      <c r="G812" s="45"/>
      <c r="H812" s="45"/>
      <c r="I812" s="265"/>
      <c r="J812" s="265"/>
      <c r="K812" s="45"/>
      <c r="L812" s="243"/>
      <c r="M812" s="243"/>
      <c r="N812" s="265"/>
      <c r="O812" s="265"/>
      <c r="P812" s="265"/>
      <c r="Q812" s="266"/>
      <c r="R812" s="243"/>
    </row>
    <row r="813" spans="3:18" customFormat="1" x14ac:dyDescent="0.25">
      <c r="C813" s="243"/>
      <c r="D813" s="45"/>
      <c r="E813" s="45"/>
      <c r="F813" s="45"/>
      <c r="G813" s="45"/>
      <c r="H813" s="45"/>
      <c r="I813" s="265"/>
      <c r="J813" s="265"/>
      <c r="K813" s="45"/>
      <c r="L813" s="243"/>
      <c r="M813" s="243"/>
      <c r="N813" s="265"/>
      <c r="O813" s="265"/>
      <c r="P813" s="265"/>
      <c r="Q813" s="266"/>
      <c r="R813" s="243"/>
    </row>
    <row r="814" spans="3:18" customFormat="1" x14ac:dyDescent="0.25">
      <c r="C814" s="243"/>
      <c r="D814" s="45"/>
      <c r="E814" s="45"/>
      <c r="F814" s="45"/>
      <c r="G814" s="45"/>
      <c r="H814" s="45"/>
      <c r="I814" s="265"/>
      <c r="J814" s="265"/>
      <c r="K814" s="45"/>
      <c r="L814" s="243"/>
      <c r="M814" s="243"/>
      <c r="N814" s="265"/>
      <c r="O814" s="265"/>
      <c r="P814" s="265"/>
      <c r="Q814" s="266"/>
      <c r="R814" s="243"/>
    </row>
    <row r="815" spans="3:18" customFormat="1" x14ac:dyDescent="0.25">
      <c r="C815" s="243"/>
      <c r="D815" s="45"/>
      <c r="E815" s="45"/>
      <c r="F815" s="45"/>
      <c r="G815" s="45"/>
      <c r="H815" s="45"/>
      <c r="I815" s="265"/>
      <c r="J815" s="265"/>
      <c r="K815" s="45"/>
      <c r="L815" s="243"/>
      <c r="M815" s="243"/>
      <c r="N815" s="265"/>
      <c r="O815" s="265"/>
      <c r="P815" s="265"/>
      <c r="Q815" s="266"/>
      <c r="R815" s="243"/>
    </row>
    <row r="816" spans="3:18" customFormat="1" x14ac:dyDescent="0.25">
      <c r="C816" s="243"/>
      <c r="D816" s="45"/>
      <c r="E816" s="45"/>
      <c r="F816" s="45"/>
      <c r="G816" s="45"/>
      <c r="H816" s="45"/>
      <c r="I816" s="265"/>
      <c r="J816" s="265"/>
      <c r="K816" s="45"/>
      <c r="L816" s="243"/>
      <c r="M816" s="243"/>
      <c r="N816" s="265"/>
      <c r="O816" s="265"/>
      <c r="P816" s="265"/>
      <c r="Q816" s="266"/>
      <c r="R816" s="243"/>
    </row>
    <row r="817" spans="3:18" customFormat="1" x14ac:dyDescent="0.25">
      <c r="C817" s="243"/>
      <c r="D817" s="45"/>
      <c r="E817" s="45"/>
      <c r="F817" s="45"/>
      <c r="G817" s="45"/>
      <c r="H817" s="45"/>
      <c r="I817" s="265"/>
      <c r="J817" s="265"/>
      <c r="K817" s="45"/>
      <c r="L817" s="243"/>
      <c r="M817" s="243"/>
      <c r="N817" s="265"/>
      <c r="O817" s="265"/>
      <c r="P817" s="265"/>
      <c r="Q817" s="266"/>
      <c r="R817" s="243"/>
    </row>
    <row r="818" spans="3:18" customFormat="1" x14ac:dyDescent="0.25">
      <c r="C818" s="243"/>
      <c r="D818" s="45"/>
      <c r="E818" s="45"/>
      <c r="F818" s="45"/>
      <c r="G818" s="45"/>
      <c r="H818" s="45"/>
      <c r="I818" s="265"/>
      <c r="J818" s="265"/>
      <c r="K818" s="45"/>
      <c r="L818" s="243"/>
      <c r="M818" s="243"/>
      <c r="N818" s="265"/>
      <c r="O818" s="265"/>
      <c r="P818" s="265"/>
      <c r="Q818" s="266"/>
      <c r="R818" s="243"/>
    </row>
    <row r="819" spans="3:18" customFormat="1" x14ac:dyDescent="0.25">
      <c r="C819" s="243"/>
      <c r="D819" s="45"/>
      <c r="E819" s="45"/>
      <c r="F819" s="45"/>
      <c r="G819" s="45"/>
      <c r="H819" s="45"/>
      <c r="I819" s="265"/>
      <c r="J819" s="265"/>
      <c r="K819" s="45"/>
      <c r="L819" s="243"/>
      <c r="M819" s="243"/>
      <c r="N819" s="265"/>
      <c r="O819" s="265"/>
      <c r="P819" s="265"/>
      <c r="Q819" s="266"/>
      <c r="R819" s="243"/>
    </row>
    <row r="820" spans="3:18" customFormat="1" x14ac:dyDescent="0.25">
      <c r="C820" s="243"/>
      <c r="D820" s="45"/>
      <c r="E820" s="45"/>
      <c r="F820" s="45"/>
      <c r="G820" s="45"/>
      <c r="H820" s="45"/>
      <c r="I820" s="265"/>
      <c r="J820" s="265"/>
      <c r="K820" s="45"/>
      <c r="L820" s="243"/>
      <c r="M820" s="243"/>
      <c r="N820" s="265"/>
      <c r="O820" s="265"/>
      <c r="P820" s="265"/>
      <c r="Q820" s="266"/>
      <c r="R820" s="243"/>
    </row>
    <row r="821" spans="3:18" customFormat="1" x14ac:dyDescent="0.25">
      <c r="C821" s="243"/>
      <c r="D821" s="45"/>
      <c r="E821" s="45"/>
      <c r="F821" s="45"/>
      <c r="G821" s="45"/>
      <c r="H821" s="45"/>
      <c r="I821" s="265"/>
      <c r="J821" s="265"/>
      <c r="K821" s="45"/>
      <c r="L821" s="243"/>
      <c r="M821" s="243"/>
      <c r="N821" s="265"/>
      <c r="O821" s="265"/>
      <c r="P821" s="265"/>
      <c r="Q821" s="266"/>
      <c r="R821" s="243"/>
    </row>
    <row r="822" spans="3:18" customFormat="1" x14ac:dyDescent="0.25">
      <c r="C822" s="243"/>
      <c r="D822" s="45"/>
      <c r="E822" s="45"/>
      <c r="F822" s="45"/>
      <c r="G822" s="45"/>
      <c r="H822" s="45"/>
      <c r="I822" s="265"/>
      <c r="J822" s="265"/>
      <c r="K822" s="45"/>
      <c r="L822" s="243"/>
      <c r="M822" s="243"/>
      <c r="N822" s="265"/>
      <c r="O822" s="265"/>
      <c r="P822" s="265"/>
      <c r="Q822" s="266"/>
      <c r="R822" s="243"/>
    </row>
    <row r="823" spans="3:18" customFormat="1" x14ac:dyDescent="0.25">
      <c r="C823" s="243"/>
      <c r="D823" s="45"/>
      <c r="E823" s="45"/>
      <c r="F823" s="45"/>
      <c r="G823" s="45"/>
      <c r="H823" s="45"/>
      <c r="I823" s="265"/>
      <c r="J823" s="265"/>
      <c r="K823" s="45"/>
      <c r="L823" s="243"/>
      <c r="M823" s="243"/>
      <c r="N823" s="265"/>
      <c r="O823" s="265"/>
      <c r="P823" s="265"/>
      <c r="Q823" s="266"/>
      <c r="R823" s="243"/>
    </row>
    <row r="824" spans="3:18" customFormat="1" x14ac:dyDescent="0.25">
      <c r="C824" s="243"/>
      <c r="D824" s="45"/>
      <c r="E824" s="45"/>
      <c r="F824" s="45"/>
      <c r="G824" s="45"/>
      <c r="H824" s="45"/>
      <c r="I824" s="265"/>
      <c r="J824" s="265"/>
      <c r="K824" s="45"/>
      <c r="L824" s="243"/>
      <c r="M824" s="243"/>
      <c r="N824" s="265"/>
      <c r="O824" s="265"/>
      <c r="P824" s="265"/>
      <c r="Q824" s="266"/>
      <c r="R824" s="243"/>
    </row>
    <row r="825" spans="3:18" customFormat="1" x14ac:dyDescent="0.25">
      <c r="C825" s="243"/>
      <c r="D825" s="45"/>
      <c r="E825" s="45"/>
      <c r="F825" s="45"/>
      <c r="G825" s="45"/>
      <c r="H825" s="45"/>
      <c r="I825" s="265"/>
      <c r="J825" s="265"/>
      <c r="K825" s="45"/>
      <c r="L825" s="243"/>
      <c r="M825" s="243"/>
      <c r="N825" s="265"/>
      <c r="O825" s="265"/>
      <c r="P825" s="265"/>
      <c r="Q825" s="266"/>
      <c r="R825" s="243"/>
    </row>
    <row r="826" spans="3:18" customFormat="1" x14ac:dyDescent="0.25">
      <c r="C826" s="243"/>
      <c r="D826" s="45"/>
      <c r="E826" s="45"/>
      <c r="F826" s="45"/>
      <c r="G826" s="45"/>
      <c r="H826" s="45"/>
      <c r="I826" s="265"/>
      <c r="J826" s="265"/>
      <c r="K826" s="45"/>
      <c r="L826" s="243"/>
      <c r="M826" s="243"/>
      <c r="N826" s="265"/>
      <c r="O826" s="265"/>
      <c r="P826" s="265"/>
      <c r="Q826" s="266"/>
      <c r="R826" s="243"/>
    </row>
    <row r="827" spans="3:18" customFormat="1" x14ac:dyDescent="0.25">
      <c r="C827" s="243"/>
      <c r="D827" s="45"/>
      <c r="E827" s="45"/>
      <c r="F827" s="45"/>
      <c r="G827" s="45"/>
      <c r="H827" s="45"/>
      <c r="I827" s="265"/>
      <c r="J827" s="265"/>
      <c r="K827" s="45"/>
      <c r="L827" s="243"/>
      <c r="M827" s="243"/>
      <c r="N827" s="265"/>
      <c r="O827" s="265"/>
      <c r="P827" s="265"/>
      <c r="Q827" s="266"/>
      <c r="R827" s="243"/>
    </row>
    <row r="828" spans="3:18" customFormat="1" x14ac:dyDescent="0.25">
      <c r="C828" s="243"/>
      <c r="D828" s="45"/>
      <c r="E828" s="45"/>
      <c r="F828" s="45"/>
      <c r="G828" s="45"/>
      <c r="H828" s="45"/>
      <c r="I828" s="265"/>
      <c r="J828" s="265"/>
      <c r="K828" s="45"/>
      <c r="L828" s="243"/>
      <c r="M828" s="243"/>
      <c r="N828" s="265"/>
      <c r="O828" s="265"/>
      <c r="P828" s="265"/>
      <c r="Q828" s="266"/>
      <c r="R828" s="243"/>
    </row>
    <row r="829" spans="3:18" customFormat="1" x14ac:dyDescent="0.25">
      <c r="C829" s="243"/>
      <c r="D829" s="45"/>
      <c r="E829" s="45"/>
      <c r="F829" s="45"/>
      <c r="G829" s="45"/>
      <c r="H829" s="45"/>
      <c r="I829" s="265"/>
      <c r="J829" s="265"/>
      <c r="K829" s="45"/>
      <c r="L829" s="243"/>
      <c r="M829" s="243"/>
      <c r="N829" s="265"/>
      <c r="O829" s="265"/>
      <c r="P829" s="265"/>
      <c r="Q829" s="266"/>
      <c r="R829" s="243"/>
    </row>
    <row r="830" spans="3:18" customFormat="1" x14ac:dyDescent="0.25">
      <c r="C830" s="243"/>
      <c r="D830" s="45"/>
      <c r="E830" s="45"/>
      <c r="F830" s="45"/>
      <c r="G830" s="45"/>
      <c r="H830" s="45"/>
      <c r="I830" s="265"/>
      <c r="J830" s="265"/>
      <c r="K830" s="45"/>
      <c r="L830" s="243"/>
      <c r="M830" s="243"/>
      <c r="N830" s="265"/>
      <c r="O830" s="265"/>
      <c r="P830" s="265"/>
      <c r="Q830" s="266"/>
      <c r="R830" s="243"/>
    </row>
    <row r="831" spans="3:18" customFormat="1" x14ac:dyDescent="0.25">
      <c r="C831" s="243"/>
      <c r="D831" s="45"/>
      <c r="E831" s="45"/>
      <c r="F831" s="45"/>
      <c r="G831" s="45"/>
      <c r="H831" s="45"/>
      <c r="I831" s="265"/>
      <c r="J831" s="265"/>
      <c r="K831" s="45"/>
      <c r="L831" s="243"/>
      <c r="M831" s="243"/>
      <c r="N831" s="265"/>
      <c r="O831" s="265"/>
      <c r="P831" s="265"/>
      <c r="Q831" s="266"/>
      <c r="R831" s="243"/>
    </row>
    <row r="832" spans="3:18" customFormat="1" x14ac:dyDescent="0.25">
      <c r="C832" s="243"/>
      <c r="D832" s="45"/>
      <c r="E832" s="45"/>
      <c r="F832" s="45"/>
      <c r="G832" s="45"/>
      <c r="H832" s="45"/>
      <c r="I832" s="265"/>
      <c r="J832" s="265"/>
      <c r="K832" s="45"/>
      <c r="L832" s="243"/>
      <c r="M832" s="243"/>
      <c r="N832" s="265"/>
      <c r="O832" s="265"/>
      <c r="P832" s="265"/>
      <c r="Q832" s="266"/>
      <c r="R832" s="243"/>
    </row>
    <row r="833" spans="3:18" customFormat="1" x14ac:dyDescent="0.25">
      <c r="C833" s="243"/>
      <c r="D833" s="45"/>
      <c r="E833" s="45"/>
      <c r="F833" s="45"/>
      <c r="G833" s="45"/>
      <c r="H833" s="45"/>
      <c r="I833" s="265"/>
      <c r="J833" s="265"/>
      <c r="K833" s="45"/>
      <c r="L833" s="243"/>
      <c r="M833" s="243"/>
      <c r="N833" s="265"/>
      <c r="O833" s="265"/>
      <c r="P833" s="265"/>
      <c r="Q833" s="266"/>
      <c r="R833" s="243"/>
    </row>
    <row r="834" spans="3:18" customFormat="1" x14ac:dyDescent="0.25">
      <c r="C834" s="243"/>
      <c r="D834" s="45"/>
      <c r="E834" s="45"/>
      <c r="F834" s="45"/>
      <c r="G834" s="45"/>
      <c r="H834" s="45"/>
      <c r="I834" s="265"/>
      <c r="J834" s="265"/>
      <c r="K834" s="45"/>
      <c r="L834" s="243"/>
      <c r="M834" s="243"/>
      <c r="N834" s="265"/>
      <c r="O834" s="265"/>
      <c r="P834" s="265"/>
      <c r="Q834" s="266"/>
      <c r="R834" s="243"/>
    </row>
    <row r="835" spans="3:18" customFormat="1" x14ac:dyDescent="0.25">
      <c r="C835" s="243"/>
      <c r="D835" s="45"/>
      <c r="E835" s="45"/>
      <c r="F835" s="45"/>
      <c r="G835" s="45"/>
      <c r="H835" s="45"/>
      <c r="I835" s="265"/>
      <c r="J835" s="265"/>
      <c r="K835" s="45"/>
      <c r="L835" s="243"/>
      <c r="M835" s="243"/>
      <c r="N835" s="265"/>
      <c r="O835" s="265"/>
      <c r="P835" s="265"/>
      <c r="Q835" s="266"/>
      <c r="R835" s="243"/>
    </row>
    <row r="836" spans="3:18" customFormat="1" x14ac:dyDescent="0.25">
      <c r="C836" s="243"/>
      <c r="D836" s="45"/>
      <c r="E836" s="45"/>
      <c r="F836" s="45"/>
      <c r="G836" s="45"/>
      <c r="H836" s="45"/>
      <c r="I836" s="265"/>
      <c r="J836" s="265"/>
      <c r="K836" s="45"/>
      <c r="L836" s="243"/>
      <c r="M836" s="243"/>
      <c r="N836" s="265"/>
      <c r="O836" s="265"/>
      <c r="P836" s="265"/>
      <c r="Q836" s="266"/>
      <c r="R836" s="243"/>
    </row>
    <row r="837" spans="3:18" customFormat="1" x14ac:dyDescent="0.25">
      <c r="C837" s="243"/>
      <c r="D837" s="45"/>
      <c r="E837" s="45"/>
      <c r="F837" s="45"/>
      <c r="G837" s="45"/>
      <c r="H837" s="45"/>
      <c r="I837" s="265"/>
      <c r="J837" s="265"/>
      <c r="K837" s="45"/>
      <c r="L837" s="243"/>
      <c r="M837" s="243"/>
      <c r="N837" s="265"/>
      <c r="O837" s="265"/>
      <c r="P837" s="265"/>
      <c r="Q837" s="266"/>
      <c r="R837" s="243"/>
    </row>
    <row r="838" spans="3:18" customFormat="1" x14ac:dyDescent="0.25">
      <c r="C838" s="243"/>
      <c r="D838" s="45"/>
      <c r="E838" s="45"/>
      <c r="F838" s="45"/>
      <c r="G838" s="45"/>
      <c r="H838" s="45"/>
      <c r="I838" s="265"/>
      <c r="J838" s="265"/>
      <c r="K838" s="45"/>
      <c r="L838" s="243"/>
      <c r="M838" s="243"/>
      <c r="N838" s="265"/>
      <c r="O838" s="265"/>
      <c r="P838" s="265"/>
      <c r="Q838" s="266"/>
      <c r="R838" s="243"/>
    </row>
    <row r="839" spans="3:18" customFormat="1" x14ac:dyDescent="0.25">
      <c r="C839" s="243"/>
      <c r="D839" s="45"/>
      <c r="E839" s="45"/>
      <c r="F839" s="45"/>
      <c r="G839" s="45"/>
      <c r="H839" s="45"/>
      <c r="I839" s="265"/>
      <c r="J839" s="265"/>
      <c r="K839" s="45"/>
      <c r="L839" s="243"/>
      <c r="M839" s="243"/>
      <c r="N839" s="265"/>
      <c r="O839" s="265"/>
      <c r="P839" s="265"/>
      <c r="Q839" s="266"/>
      <c r="R839" s="243"/>
    </row>
    <row r="840" spans="3:18" customFormat="1" x14ac:dyDescent="0.25">
      <c r="C840" s="243"/>
      <c r="D840" s="45"/>
      <c r="E840" s="45"/>
      <c r="F840" s="45"/>
      <c r="G840" s="45"/>
      <c r="H840" s="45"/>
      <c r="I840" s="265"/>
      <c r="J840" s="265"/>
      <c r="K840" s="45"/>
      <c r="L840" s="243"/>
      <c r="M840" s="243"/>
      <c r="N840" s="265"/>
      <c r="O840" s="265"/>
      <c r="P840" s="265"/>
      <c r="Q840" s="266"/>
      <c r="R840" s="243"/>
    </row>
    <row r="841" spans="3:18" customFormat="1" x14ac:dyDescent="0.25">
      <c r="C841" s="243"/>
      <c r="D841" s="45"/>
      <c r="E841" s="45"/>
      <c r="F841" s="45"/>
      <c r="G841" s="45"/>
      <c r="H841" s="45"/>
      <c r="I841" s="265"/>
      <c r="J841" s="265"/>
      <c r="K841" s="45"/>
      <c r="L841" s="243"/>
      <c r="M841" s="243"/>
      <c r="N841" s="265"/>
      <c r="O841" s="265"/>
      <c r="P841" s="265"/>
      <c r="Q841" s="266"/>
      <c r="R841" s="243"/>
    </row>
    <row r="842" spans="3:18" customFormat="1" x14ac:dyDescent="0.25">
      <c r="C842" s="243"/>
      <c r="D842" s="45"/>
      <c r="E842" s="45"/>
      <c r="F842" s="45"/>
      <c r="G842" s="45"/>
      <c r="H842" s="45"/>
      <c r="I842" s="265"/>
      <c r="J842" s="265"/>
      <c r="K842" s="45"/>
      <c r="L842" s="243"/>
      <c r="M842" s="243"/>
      <c r="N842" s="265"/>
      <c r="O842" s="265"/>
      <c r="P842" s="265"/>
      <c r="Q842" s="266"/>
      <c r="R842" s="243"/>
    </row>
    <row r="843" spans="3:18" customFormat="1" x14ac:dyDescent="0.25">
      <c r="C843" s="243"/>
      <c r="D843" s="45"/>
      <c r="E843" s="45"/>
      <c r="F843" s="45"/>
      <c r="G843" s="45"/>
      <c r="H843" s="45"/>
      <c r="I843" s="265"/>
      <c r="J843" s="265"/>
      <c r="K843" s="45"/>
      <c r="L843" s="243"/>
      <c r="M843" s="243"/>
      <c r="N843" s="265"/>
      <c r="O843" s="265"/>
      <c r="P843" s="265"/>
      <c r="Q843" s="266"/>
      <c r="R843" s="243"/>
    </row>
    <row r="844" spans="3:18" customFormat="1" x14ac:dyDescent="0.25">
      <c r="C844" s="243"/>
      <c r="D844" s="45"/>
      <c r="E844" s="45"/>
      <c r="F844" s="45"/>
      <c r="G844" s="45"/>
      <c r="H844" s="45"/>
      <c r="I844" s="265"/>
      <c r="J844" s="265"/>
      <c r="K844" s="45"/>
      <c r="L844" s="243"/>
      <c r="M844" s="243"/>
      <c r="N844" s="265"/>
      <c r="O844" s="265"/>
      <c r="P844" s="265"/>
      <c r="Q844" s="266"/>
      <c r="R844" s="243"/>
    </row>
    <row r="845" spans="3:18" customFormat="1" x14ac:dyDescent="0.25">
      <c r="C845" s="243"/>
      <c r="D845" s="45"/>
      <c r="E845" s="45"/>
      <c r="F845" s="45"/>
      <c r="G845" s="45"/>
      <c r="H845" s="45"/>
      <c r="I845" s="265"/>
      <c r="J845" s="265"/>
      <c r="K845" s="45"/>
      <c r="L845" s="243"/>
      <c r="M845" s="243"/>
      <c r="N845" s="265"/>
      <c r="O845" s="265"/>
      <c r="P845" s="265"/>
      <c r="Q845" s="266"/>
      <c r="R845" s="243"/>
    </row>
    <row r="846" spans="3:18" customFormat="1" x14ac:dyDescent="0.25">
      <c r="C846" s="243"/>
      <c r="D846" s="45"/>
      <c r="E846" s="45"/>
      <c r="F846" s="45"/>
      <c r="G846" s="45"/>
      <c r="H846" s="45"/>
      <c r="I846" s="265"/>
      <c r="J846" s="265"/>
      <c r="K846" s="45"/>
      <c r="L846" s="243"/>
      <c r="M846" s="243"/>
      <c r="N846" s="265"/>
      <c r="O846" s="265"/>
      <c r="P846" s="265"/>
      <c r="Q846" s="266"/>
      <c r="R846" s="243"/>
    </row>
    <row r="847" spans="3:18" customFormat="1" x14ac:dyDescent="0.25">
      <c r="C847" s="243"/>
      <c r="D847" s="45"/>
      <c r="E847" s="45"/>
      <c r="F847" s="45"/>
      <c r="G847" s="45"/>
      <c r="H847" s="45"/>
      <c r="I847" s="265"/>
      <c r="J847" s="265"/>
      <c r="K847" s="45"/>
      <c r="L847" s="243"/>
      <c r="M847" s="243"/>
      <c r="N847" s="265"/>
      <c r="O847" s="265"/>
      <c r="P847" s="265"/>
      <c r="Q847" s="266"/>
      <c r="R847" s="243"/>
    </row>
    <row r="848" spans="3:18" customFormat="1" x14ac:dyDescent="0.25">
      <c r="C848" s="243"/>
      <c r="D848" s="45"/>
      <c r="E848" s="45"/>
      <c r="F848" s="45"/>
      <c r="G848" s="45"/>
      <c r="H848" s="45"/>
      <c r="I848" s="265"/>
      <c r="J848" s="265"/>
      <c r="K848" s="45"/>
      <c r="L848" s="243"/>
      <c r="M848" s="243"/>
      <c r="N848" s="265"/>
      <c r="O848" s="265"/>
      <c r="P848" s="265"/>
      <c r="Q848" s="266"/>
      <c r="R848" s="243"/>
    </row>
    <row r="849" spans="3:18" customFormat="1" x14ac:dyDescent="0.25">
      <c r="C849" s="243"/>
      <c r="D849" s="45"/>
      <c r="E849" s="45"/>
      <c r="F849" s="45"/>
      <c r="G849" s="45"/>
      <c r="H849" s="45"/>
      <c r="I849" s="265"/>
      <c r="J849" s="265"/>
      <c r="K849" s="45"/>
      <c r="L849" s="243"/>
      <c r="M849" s="243"/>
      <c r="N849" s="265"/>
      <c r="O849" s="265"/>
      <c r="P849" s="265"/>
      <c r="Q849" s="266"/>
      <c r="R849" s="243"/>
    </row>
    <row r="850" spans="3:18" customFormat="1" x14ac:dyDescent="0.25">
      <c r="C850" s="243"/>
      <c r="D850" s="45"/>
      <c r="E850" s="45"/>
      <c r="F850" s="45"/>
      <c r="G850" s="45"/>
      <c r="H850" s="45"/>
      <c r="I850" s="265"/>
      <c r="J850" s="265"/>
      <c r="K850" s="45"/>
      <c r="L850" s="243"/>
      <c r="M850" s="243"/>
      <c r="N850" s="265"/>
      <c r="O850" s="265"/>
      <c r="P850" s="265"/>
      <c r="Q850" s="266"/>
      <c r="R850" s="243"/>
    </row>
    <row r="851" spans="3:18" customFormat="1" x14ac:dyDescent="0.25">
      <c r="C851" s="243"/>
      <c r="D851" s="45"/>
      <c r="E851" s="45"/>
      <c r="F851" s="45"/>
      <c r="G851" s="45"/>
      <c r="H851" s="45"/>
      <c r="I851" s="265"/>
      <c r="J851" s="265"/>
      <c r="K851" s="45"/>
      <c r="L851" s="243"/>
      <c r="M851" s="243"/>
      <c r="N851" s="265"/>
      <c r="O851" s="265"/>
      <c r="P851" s="265"/>
      <c r="Q851" s="266"/>
      <c r="R851" s="243"/>
    </row>
    <row r="852" spans="3:18" customFormat="1" x14ac:dyDescent="0.25">
      <c r="C852" s="243"/>
      <c r="D852" s="45"/>
      <c r="E852" s="45"/>
      <c r="F852" s="45"/>
      <c r="G852" s="45"/>
      <c r="H852" s="45"/>
      <c r="I852" s="265"/>
      <c r="J852" s="265"/>
      <c r="K852" s="45"/>
      <c r="L852" s="243"/>
      <c r="M852" s="243"/>
      <c r="N852" s="265"/>
      <c r="O852" s="265"/>
      <c r="P852" s="265"/>
      <c r="Q852" s="266"/>
      <c r="R852" s="243"/>
    </row>
    <row r="853" spans="3:18" customFormat="1" x14ac:dyDescent="0.25">
      <c r="C853" s="243"/>
      <c r="D853" s="45"/>
      <c r="E853" s="45"/>
      <c r="F853" s="45"/>
      <c r="G853" s="45"/>
      <c r="H853" s="45"/>
      <c r="I853" s="265"/>
      <c r="J853" s="265"/>
      <c r="K853" s="45"/>
      <c r="L853" s="243"/>
      <c r="M853" s="243"/>
      <c r="N853" s="265"/>
      <c r="O853" s="265"/>
      <c r="P853" s="265"/>
      <c r="Q853" s="266"/>
      <c r="R853" s="243"/>
    </row>
    <row r="854" spans="3:18" customFormat="1" x14ac:dyDescent="0.25">
      <c r="C854" s="243"/>
      <c r="D854" s="45"/>
      <c r="E854" s="45"/>
      <c r="F854" s="45"/>
      <c r="G854" s="45"/>
      <c r="H854" s="45"/>
      <c r="I854" s="265"/>
      <c r="J854" s="265"/>
      <c r="K854" s="45"/>
      <c r="L854" s="243"/>
      <c r="M854" s="243"/>
      <c r="N854" s="265"/>
      <c r="O854" s="265"/>
      <c r="P854" s="265"/>
      <c r="Q854" s="266"/>
      <c r="R854" s="243"/>
    </row>
    <row r="855" spans="3:18" customFormat="1" x14ac:dyDescent="0.25">
      <c r="C855" s="243"/>
      <c r="D855" s="45"/>
      <c r="E855" s="45"/>
      <c r="F855" s="45"/>
      <c r="G855" s="45"/>
      <c r="H855" s="45"/>
      <c r="I855" s="265"/>
      <c r="J855" s="265"/>
      <c r="K855" s="45"/>
      <c r="L855" s="243"/>
      <c r="M855" s="243"/>
      <c r="N855" s="265"/>
      <c r="O855" s="265"/>
      <c r="P855" s="265"/>
      <c r="Q855" s="266"/>
      <c r="R855" s="243"/>
    </row>
    <row r="856" spans="3:18" customFormat="1" x14ac:dyDescent="0.25">
      <c r="C856" s="243"/>
      <c r="D856" s="45"/>
      <c r="E856" s="45"/>
      <c r="F856" s="45"/>
      <c r="G856" s="45"/>
      <c r="H856" s="45"/>
      <c r="I856" s="265"/>
      <c r="J856" s="265"/>
      <c r="K856" s="45"/>
      <c r="L856" s="243"/>
      <c r="M856" s="243"/>
      <c r="N856" s="265"/>
      <c r="O856" s="265"/>
      <c r="P856" s="265"/>
      <c r="Q856" s="266"/>
      <c r="R856" s="243"/>
    </row>
    <row r="857" spans="3:18" customFormat="1" x14ac:dyDescent="0.25">
      <c r="C857" s="243"/>
      <c r="D857" s="45"/>
      <c r="E857" s="45"/>
      <c r="F857" s="45"/>
      <c r="G857" s="45"/>
      <c r="H857" s="45"/>
      <c r="I857" s="265"/>
      <c r="J857" s="265"/>
      <c r="K857" s="45"/>
      <c r="L857" s="243"/>
      <c r="M857" s="243"/>
      <c r="N857" s="265"/>
      <c r="O857" s="265"/>
      <c r="P857" s="265"/>
      <c r="Q857" s="266"/>
      <c r="R857" s="243"/>
    </row>
    <row r="858" spans="3:18" customFormat="1" x14ac:dyDescent="0.25">
      <c r="C858" s="243"/>
      <c r="D858" s="45"/>
      <c r="E858" s="45"/>
      <c r="F858" s="45"/>
      <c r="G858" s="45"/>
      <c r="H858" s="45"/>
      <c r="I858" s="265"/>
      <c r="J858" s="265"/>
      <c r="K858" s="45"/>
      <c r="L858" s="243"/>
      <c r="M858" s="243"/>
      <c r="N858" s="265"/>
      <c r="O858" s="265"/>
      <c r="P858" s="265"/>
      <c r="Q858" s="266"/>
      <c r="R858" s="243"/>
    </row>
    <row r="859" spans="3:18" customFormat="1" x14ac:dyDescent="0.25">
      <c r="C859" s="243"/>
      <c r="D859" s="45"/>
      <c r="E859" s="45"/>
      <c r="F859" s="45"/>
      <c r="G859" s="45"/>
      <c r="H859" s="45"/>
      <c r="I859" s="265"/>
      <c r="J859" s="265"/>
      <c r="K859" s="45"/>
      <c r="L859" s="243"/>
      <c r="M859" s="243"/>
      <c r="N859" s="265"/>
      <c r="O859" s="265"/>
      <c r="P859" s="265"/>
      <c r="Q859" s="266"/>
      <c r="R859" s="243"/>
    </row>
    <row r="860" spans="3:18" customFormat="1" x14ac:dyDescent="0.25">
      <c r="C860" s="243"/>
      <c r="D860" s="45"/>
      <c r="E860" s="45"/>
      <c r="F860" s="45"/>
      <c r="G860" s="45"/>
      <c r="H860" s="45"/>
      <c r="I860" s="265"/>
      <c r="J860" s="265"/>
      <c r="K860" s="45"/>
      <c r="L860" s="243"/>
      <c r="M860" s="243"/>
      <c r="N860" s="265"/>
      <c r="O860" s="265"/>
      <c r="P860" s="265"/>
      <c r="Q860" s="266"/>
      <c r="R860" s="243"/>
    </row>
    <row r="861" spans="3:18" customFormat="1" x14ac:dyDescent="0.25">
      <c r="C861" s="243"/>
      <c r="D861" s="45"/>
      <c r="E861" s="45"/>
      <c r="F861" s="45"/>
      <c r="G861" s="45"/>
      <c r="H861" s="45"/>
      <c r="I861" s="265"/>
      <c r="J861" s="265"/>
      <c r="K861" s="45"/>
      <c r="L861" s="243"/>
      <c r="M861" s="243"/>
      <c r="N861" s="265"/>
      <c r="O861" s="265"/>
      <c r="P861" s="265"/>
      <c r="Q861" s="266"/>
      <c r="R861" s="243"/>
    </row>
    <row r="862" spans="3:18" customFormat="1" x14ac:dyDescent="0.25">
      <c r="C862" s="243"/>
      <c r="D862" s="45"/>
      <c r="E862" s="45"/>
      <c r="F862" s="45"/>
      <c r="G862" s="45"/>
      <c r="H862" s="45"/>
      <c r="I862" s="265"/>
      <c r="J862" s="265"/>
      <c r="K862" s="45"/>
      <c r="L862" s="243"/>
      <c r="M862" s="243"/>
      <c r="N862" s="265"/>
      <c r="O862" s="265"/>
      <c r="P862" s="265"/>
      <c r="Q862" s="266"/>
      <c r="R862" s="243"/>
    </row>
    <row r="863" spans="3:18" customFormat="1" x14ac:dyDescent="0.25">
      <c r="C863" s="243"/>
      <c r="D863" s="45"/>
      <c r="E863" s="45"/>
      <c r="F863" s="45"/>
      <c r="G863" s="45"/>
      <c r="H863" s="45"/>
      <c r="I863" s="265"/>
      <c r="J863" s="265"/>
      <c r="K863" s="45"/>
      <c r="L863" s="243"/>
      <c r="M863" s="243"/>
      <c r="N863" s="265"/>
      <c r="O863" s="265"/>
      <c r="P863" s="265"/>
      <c r="Q863" s="266"/>
      <c r="R863" s="243"/>
    </row>
    <row r="864" spans="3:18" customFormat="1" x14ac:dyDescent="0.25">
      <c r="C864" s="243"/>
      <c r="D864" s="45"/>
      <c r="E864" s="45"/>
      <c r="F864" s="45"/>
      <c r="G864" s="45"/>
      <c r="H864" s="45"/>
      <c r="I864" s="265"/>
      <c r="J864" s="265"/>
      <c r="K864" s="45"/>
      <c r="L864" s="243"/>
      <c r="M864" s="243"/>
      <c r="N864" s="265"/>
      <c r="O864" s="265"/>
      <c r="P864" s="265"/>
      <c r="Q864" s="266"/>
      <c r="R864" s="243"/>
    </row>
    <row r="865" spans="3:18" customFormat="1" x14ac:dyDescent="0.25">
      <c r="C865" s="243"/>
      <c r="D865" s="45"/>
      <c r="E865" s="45"/>
      <c r="F865" s="45"/>
      <c r="G865" s="45"/>
      <c r="H865" s="45"/>
      <c r="I865" s="265"/>
      <c r="J865" s="265"/>
      <c r="K865" s="45"/>
      <c r="L865" s="243"/>
      <c r="M865" s="243"/>
      <c r="N865" s="265"/>
      <c r="O865" s="265"/>
      <c r="P865" s="265"/>
      <c r="Q865" s="266"/>
      <c r="R865" s="243"/>
    </row>
    <row r="866" spans="3:18" customFormat="1" x14ac:dyDescent="0.25">
      <c r="C866" s="243"/>
      <c r="D866" s="45"/>
      <c r="E866" s="45"/>
      <c r="F866" s="45"/>
      <c r="G866" s="45"/>
      <c r="H866" s="45"/>
      <c r="I866" s="265"/>
      <c r="J866" s="265"/>
      <c r="K866" s="45"/>
      <c r="L866" s="243"/>
      <c r="M866" s="243"/>
      <c r="N866" s="265"/>
      <c r="O866" s="265"/>
      <c r="P866" s="265"/>
      <c r="Q866" s="266"/>
      <c r="R866" s="243"/>
    </row>
    <row r="867" spans="3:18" customFormat="1" x14ac:dyDescent="0.25">
      <c r="C867" s="243"/>
      <c r="D867" s="45"/>
      <c r="E867" s="45"/>
      <c r="F867" s="45"/>
      <c r="G867" s="45"/>
      <c r="H867" s="45"/>
      <c r="I867" s="265"/>
      <c r="J867" s="265"/>
      <c r="K867" s="45"/>
      <c r="L867" s="243"/>
      <c r="M867" s="243"/>
      <c r="N867" s="265"/>
      <c r="O867" s="265"/>
      <c r="P867" s="265"/>
      <c r="Q867" s="266"/>
      <c r="R867" s="243"/>
    </row>
    <row r="868" spans="3:18" customFormat="1" x14ac:dyDescent="0.25">
      <c r="C868" s="243"/>
      <c r="D868" s="45"/>
      <c r="E868" s="45"/>
      <c r="F868" s="45"/>
      <c r="G868" s="45"/>
      <c r="H868" s="45"/>
      <c r="I868" s="265"/>
      <c r="J868" s="265"/>
      <c r="K868" s="45"/>
      <c r="L868" s="243"/>
      <c r="M868" s="243"/>
      <c r="N868" s="265"/>
      <c r="O868" s="265"/>
      <c r="P868" s="265"/>
      <c r="Q868" s="266"/>
      <c r="R868" s="243"/>
    </row>
    <row r="869" spans="3:18" customFormat="1" x14ac:dyDescent="0.25">
      <c r="C869" s="243"/>
      <c r="D869" s="45"/>
      <c r="E869" s="45"/>
      <c r="F869" s="45"/>
      <c r="G869" s="45"/>
      <c r="H869" s="45"/>
      <c r="I869" s="265"/>
      <c r="J869" s="265"/>
      <c r="K869" s="45"/>
      <c r="L869" s="243"/>
      <c r="M869" s="243"/>
      <c r="N869" s="265"/>
      <c r="O869" s="265"/>
      <c r="P869" s="265"/>
      <c r="Q869" s="266"/>
      <c r="R869" s="243"/>
    </row>
    <row r="870" spans="3:18" customFormat="1" x14ac:dyDescent="0.25">
      <c r="C870" s="243"/>
      <c r="D870" s="45"/>
      <c r="E870" s="45"/>
      <c r="F870" s="45"/>
      <c r="G870" s="45"/>
      <c r="H870" s="45"/>
      <c r="I870" s="265"/>
      <c r="J870" s="265"/>
      <c r="K870" s="45"/>
      <c r="L870" s="243"/>
      <c r="M870" s="243"/>
      <c r="N870" s="265"/>
      <c r="O870" s="265"/>
      <c r="P870" s="265"/>
      <c r="Q870" s="266"/>
      <c r="R870" s="243"/>
    </row>
    <row r="871" spans="3:18" customFormat="1" x14ac:dyDescent="0.25">
      <c r="C871" s="243"/>
      <c r="D871" s="45"/>
      <c r="E871" s="45"/>
      <c r="F871" s="45"/>
      <c r="G871" s="45"/>
      <c r="H871" s="45"/>
      <c r="I871" s="265"/>
      <c r="J871" s="265"/>
      <c r="K871" s="45"/>
      <c r="L871" s="243"/>
      <c r="M871" s="243"/>
      <c r="N871" s="265"/>
      <c r="O871" s="265"/>
      <c r="P871" s="265"/>
      <c r="Q871" s="266"/>
      <c r="R871" s="243"/>
    </row>
    <row r="872" spans="3:18" customFormat="1" x14ac:dyDescent="0.25">
      <c r="C872" s="243"/>
      <c r="D872" s="45"/>
      <c r="E872" s="45"/>
      <c r="F872" s="45"/>
      <c r="G872" s="45"/>
      <c r="H872" s="45"/>
      <c r="I872" s="265"/>
      <c r="J872" s="265"/>
      <c r="K872" s="45"/>
      <c r="L872" s="243"/>
      <c r="M872" s="243"/>
      <c r="N872" s="265"/>
      <c r="O872" s="265"/>
      <c r="P872" s="265"/>
      <c r="Q872" s="266"/>
      <c r="R872" s="243"/>
    </row>
    <row r="873" spans="3:18" customFormat="1" x14ac:dyDescent="0.25">
      <c r="C873" s="243"/>
      <c r="D873" s="45"/>
      <c r="E873" s="45"/>
      <c r="F873" s="45"/>
      <c r="G873" s="45"/>
      <c r="H873" s="45"/>
      <c r="I873" s="265"/>
      <c r="J873" s="265"/>
      <c r="K873" s="45"/>
      <c r="L873" s="243"/>
      <c r="M873" s="243"/>
      <c r="N873" s="265"/>
      <c r="O873" s="265"/>
      <c r="P873" s="265"/>
      <c r="Q873" s="266"/>
      <c r="R873" s="243"/>
    </row>
    <row r="874" spans="3:18" customFormat="1" x14ac:dyDescent="0.25">
      <c r="C874" s="243"/>
      <c r="D874" s="45"/>
      <c r="E874" s="45"/>
      <c r="F874" s="45"/>
      <c r="G874" s="45"/>
      <c r="H874" s="45"/>
      <c r="I874" s="265"/>
      <c r="J874" s="265"/>
      <c r="K874" s="45"/>
      <c r="L874" s="243"/>
      <c r="M874" s="243"/>
      <c r="N874" s="265"/>
      <c r="O874" s="265"/>
      <c r="P874" s="265"/>
      <c r="Q874" s="266"/>
      <c r="R874" s="243"/>
    </row>
    <row r="875" spans="3:18" customFormat="1" x14ac:dyDescent="0.25">
      <c r="C875" s="243"/>
      <c r="D875" s="45"/>
      <c r="E875" s="45"/>
      <c r="F875" s="45"/>
      <c r="G875" s="45"/>
      <c r="H875" s="45"/>
      <c r="I875" s="265"/>
      <c r="J875" s="265"/>
      <c r="K875" s="45"/>
      <c r="L875" s="243"/>
      <c r="M875" s="243"/>
      <c r="N875" s="265"/>
      <c r="O875" s="265"/>
      <c r="P875" s="265"/>
      <c r="Q875" s="266"/>
      <c r="R875" s="243"/>
    </row>
    <row r="876" spans="3:18" customFormat="1" x14ac:dyDescent="0.25">
      <c r="C876" s="243"/>
      <c r="D876" s="45"/>
      <c r="E876" s="45"/>
      <c r="F876" s="45"/>
      <c r="G876" s="45"/>
      <c r="H876" s="45"/>
      <c r="I876" s="265"/>
      <c r="J876" s="265"/>
      <c r="K876" s="45"/>
      <c r="L876" s="243"/>
      <c r="M876" s="243"/>
      <c r="N876" s="265"/>
      <c r="O876" s="265"/>
      <c r="P876" s="265"/>
      <c r="Q876" s="266"/>
      <c r="R876" s="243"/>
    </row>
    <row r="877" spans="3:18" customFormat="1" x14ac:dyDescent="0.25">
      <c r="C877" s="243"/>
      <c r="D877" s="45"/>
      <c r="E877" s="45"/>
      <c r="F877" s="45"/>
      <c r="G877" s="45"/>
      <c r="H877" s="45"/>
      <c r="I877" s="265"/>
      <c r="J877" s="265"/>
      <c r="K877" s="45"/>
      <c r="L877" s="243"/>
      <c r="M877" s="243"/>
      <c r="N877" s="265"/>
      <c r="O877" s="265"/>
      <c r="P877" s="265"/>
      <c r="Q877" s="266"/>
      <c r="R877" s="243"/>
    </row>
    <row r="878" spans="3:18" customFormat="1" x14ac:dyDescent="0.25">
      <c r="C878" s="243"/>
      <c r="D878" s="45"/>
      <c r="E878" s="45"/>
      <c r="F878" s="45"/>
      <c r="G878" s="45"/>
      <c r="H878" s="45"/>
      <c r="I878" s="265"/>
      <c r="J878" s="265"/>
      <c r="K878" s="45"/>
      <c r="L878" s="243"/>
      <c r="M878" s="243"/>
      <c r="N878" s="265"/>
      <c r="O878" s="265"/>
      <c r="P878" s="265"/>
      <c r="Q878" s="266"/>
      <c r="R878" s="243"/>
    </row>
    <row r="879" spans="3:18" customFormat="1" x14ac:dyDescent="0.25">
      <c r="C879" s="243"/>
      <c r="D879" s="45"/>
      <c r="E879" s="45"/>
      <c r="F879" s="45"/>
      <c r="G879" s="45"/>
      <c r="H879" s="45"/>
      <c r="I879" s="265"/>
      <c r="J879" s="265"/>
      <c r="K879" s="45"/>
      <c r="L879" s="243"/>
      <c r="M879" s="243"/>
      <c r="N879" s="265"/>
      <c r="O879" s="265"/>
      <c r="P879" s="265"/>
      <c r="Q879" s="266"/>
      <c r="R879" s="243"/>
    </row>
    <row r="880" spans="3:18" customFormat="1" x14ac:dyDescent="0.25">
      <c r="C880" s="243"/>
      <c r="D880" s="45"/>
      <c r="E880" s="45"/>
      <c r="F880" s="45"/>
      <c r="G880" s="45"/>
      <c r="H880" s="45"/>
      <c r="I880" s="265"/>
      <c r="J880" s="265"/>
      <c r="K880" s="45"/>
      <c r="L880" s="243"/>
      <c r="M880" s="243"/>
      <c r="N880" s="265"/>
      <c r="O880" s="265"/>
      <c r="P880" s="265"/>
      <c r="Q880" s="266"/>
      <c r="R880" s="243"/>
    </row>
    <row r="881" spans="3:18" customFormat="1" x14ac:dyDescent="0.25">
      <c r="C881" s="243"/>
      <c r="D881" s="45"/>
      <c r="E881" s="45"/>
      <c r="F881" s="45"/>
      <c r="G881" s="45"/>
      <c r="H881" s="45"/>
      <c r="I881" s="265"/>
      <c r="J881" s="265"/>
      <c r="K881" s="45"/>
      <c r="L881" s="243"/>
      <c r="M881" s="243"/>
      <c r="N881" s="265"/>
      <c r="O881" s="265"/>
      <c r="P881" s="265"/>
      <c r="Q881" s="266"/>
      <c r="R881" s="243"/>
    </row>
    <row r="882" spans="3:18" customFormat="1" x14ac:dyDescent="0.25">
      <c r="C882" s="243"/>
      <c r="D882" s="45"/>
      <c r="E882" s="45"/>
      <c r="F882" s="45"/>
      <c r="G882" s="45"/>
      <c r="H882" s="45"/>
      <c r="I882" s="265"/>
      <c r="J882" s="265"/>
      <c r="K882" s="45"/>
      <c r="L882" s="243"/>
      <c r="M882" s="243"/>
      <c r="N882" s="265"/>
      <c r="O882" s="265"/>
      <c r="P882" s="265"/>
      <c r="Q882" s="266"/>
      <c r="R882" s="243"/>
    </row>
    <row r="883" spans="3:18" customFormat="1" x14ac:dyDescent="0.25">
      <c r="C883" s="243"/>
      <c r="D883" s="45"/>
      <c r="E883" s="45"/>
      <c r="F883" s="45"/>
      <c r="G883" s="45"/>
      <c r="H883" s="45"/>
      <c r="I883" s="265"/>
      <c r="J883" s="265"/>
      <c r="K883" s="45"/>
      <c r="L883" s="243"/>
      <c r="M883" s="243"/>
      <c r="N883" s="265"/>
      <c r="O883" s="265"/>
      <c r="P883" s="265"/>
      <c r="Q883" s="266"/>
      <c r="R883" s="243"/>
    </row>
    <row r="884" spans="3:18" customFormat="1" x14ac:dyDescent="0.25">
      <c r="C884" s="243"/>
      <c r="D884" s="45"/>
      <c r="E884" s="45"/>
      <c r="F884" s="45"/>
      <c r="G884" s="45"/>
      <c r="H884" s="45"/>
      <c r="I884" s="265"/>
      <c r="J884" s="265"/>
      <c r="K884" s="45"/>
      <c r="L884" s="243"/>
      <c r="M884" s="243"/>
      <c r="N884" s="265"/>
      <c r="O884" s="265"/>
      <c r="P884" s="265"/>
      <c r="Q884" s="266"/>
      <c r="R884" s="243"/>
    </row>
    <row r="885" spans="3:18" customFormat="1" x14ac:dyDescent="0.25">
      <c r="C885" s="243"/>
      <c r="D885" s="45"/>
      <c r="E885" s="45"/>
      <c r="F885" s="45"/>
      <c r="G885" s="45"/>
      <c r="H885" s="45"/>
      <c r="I885" s="265"/>
      <c r="J885" s="265"/>
      <c r="K885" s="45"/>
      <c r="L885" s="243"/>
      <c r="M885" s="243"/>
      <c r="N885" s="265"/>
      <c r="O885" s="265"/>
      <c r="P885" s="265"/>
      <c r="Q885" s="266"/>
      <c r="R885" s="243"/>
    </row>
    <row r="886" spans="3:18" customFormat="1" x14ac:dyDescent="0.25">
      <c r="C886" s="243"/>
      <c r="D886" s="45"/>
      <c r="E886" s="45"/>
      <c r="F886" s="45"/>
      <c r="G886" s="45"/>
      <c r="H886" s="45"/>
      <c r="I886" s="265"/>
      <c r="J886" s="265"/>
      <c r="K886" s="45"/>
      <c r="L886" s="243"/>
      <c r="M886" s="243"/>
      <c r="N886" s="265"/>
      <c r="O886" s="265"/>
      <c r="P886" s="265"/>
      <c r="Q886" s="266"/>
      <c r="R886" s="243"/>
    </row>
    <row r="887" spans="3:18" customFormat="1" x14ac:dyDescent="0.25">
      <c r="C887" s="243"/>
      <c r="D887" s="45"/>
      <c r="E887" s="45"/>
      <c r="F887" s="45"/>
      <c r="G887" s="45"/>
      <c r="H887" s="45"/>
      <c r="I887" s="265"/>
      <c r="J887" s="265"/>
      <c r="K887" s="45"/>
      <c r="L887" s="243"/>
      <c r="M887" s="243"/>
      <c r="N887" s="265"/>
      <c r="O887" s="265"/>
      <c r="P887" s="265"/>
      <c r="Q887" s="266"/>
      <c r="R887" s="243"/>
    </row>
    <row r="888" spans="3:18" customFormat="1" x14ac:dyDescent="0.25">
      <c r="C888" s="243"/>
      <c r="D888" s="45"/>
      <c r="E888" s="45"/>
      <c r="F888" s="45"/>
      <c r="G888" s="45"/>
      <c r="H888" s="45"/>
      <c r="I888" s="265"/>
      <c r="J888" s="265"/>
      <c r="K888" s="45"/>
      <c r="L888" s="243"/>
      <c r="M888" s="243"/>
      <c r="N888" s="265"/>
      <c r="O888" s="265"/>
      <c r="P888" s="265"/>
      <c r="Q888" s="266"/>
      <c r="R888" s="243"/>
    </row>
    <row r="889" spans="3:18" customFormat="1" x14ac:dyDescent="0.25">
      <c r="C889" s="243"/>
      <c r="D889" s="45"/>
      <c r="E889" s="45"/>
      <c r="F889" s="45"/>
      <c r="G889" s="45"/>
      <c r="H889" s="45"/>
      <c r="I889" s="265"/>
      <c r="J889" s="265"/>
      <c r="K889" s="45"/>
      <c r="L889" s="243"/>
      <c r="M889" s="243"/>
      <c r="N889" s="265"/>
      <c r="O889" s="265"/>
      <c r="P889" s="265"/>
      <c r="Q889" s="266"/>
      <c r="R889" s="243"/>
    </row>
    <row r="890" spans="3:18" customFormat="1" x14ac:dyDescent="0.25">
      <c r="C890" s="243"/>
      <c r="D890" s="45"/>
      <c r="E890" s="45"/>
      <c r="F890" s="45"/>
      <c r="G890" s="45"/>
      <c r="H890" s="45"/>
      <c r="I890" s="265"/>
      <c r="J890" s="265"/>
      <c r="K890" s="45"/>
      <c r="L890" s="243"/>
      <c r="M890" s="243"/>
      <c r="N890" s="265"/>
      <c r="O890" s="265"/>
      <c r="P890" s="265"/>
      <c r="Q890" s="266"/>
      <c r="R890" s="243"/>
    </row>
    <row r="891" spans="3:18" customFormat="1" x14ac:dyDescent="0.25">
      <c r="C891" s="243"/>
      <c r="D891" s="45"/>
      <c r="E891" s="45"/>
      <c r="F891" s="45"/>
      <c r="G891" s="45"/>
      <c r="H891" s="45"/>
      <c r="I891" s="265"/>
      <c r="J891" s="265"/>
      <c r="K891" s="45"/>
      <c r="L891" s="243"/>
      <c r="M891" s="243"/>
      <c r="N891" s="265"/>
      <c r="O891" s="265"/>
      <c r="P891" s="265"/>
      <c r="Q891" s="266"/>
      <c r="R891" s="243"/>
    </row>
    <row r="892" spans="3:18" customFormat="1" x14ac:dyDescent="0.25">
      <c r="C892" s="243"/>
      <c r="D892" s="45"/>
      <c r="E892" s="45"/>
      <c r="F892" s="45"/>
      <c r="G892" s="45"/>
      <c r="H892" s="45"/>
      <c r="I892" s="265"/>
      <c r="J892" s="265"/>
      <c r="K892" s="45"/>
      <c r="L892" s="243"/>
      <c r="M892" s="243"/>
      <c r="N892" s="265"/>
      <c r="O892" s="265"/>
      <c r="P892" s="265"/>
      <c r="Q892" s="266"/>
      <c r="R892" s="243"/>
    </row>
    <row r="893" spans="3:18" customFormat="1" x14ac:dyDescent="0.25">
      <c r="C893" s="243"/>
      <c r="D893" s="45"/>
      <c r="E893" s="45"/>
      <c r="F893" s="45"/>
      <c r="G893" s="45"/>
      <c r="H893" s="45"/>
      <c r="I893" s="265"/>
      <c r="J893" s="265"/>
      <c r="K893" s="45"/>
      <c r="L893" s="243"/>
      <c r="M893" s="243"/>
      <c r="N893" s="265"/>
      <c r="O893" s="265"/>
      <c r="P893" s="265"/>
      <c r="Q893" s="266"/>
      <c r="R893" s="243"/>
    </row>
    <row r="894" spans="3:18" customFormat="1" x14ac:dyDescent="0.25">
      <c r="C894" s="243"/>
      <c r="D894" s="45"/>
      <c r="E894" s="45"/>
      <c r="F894" s="45"/>
      <c r="G894" s="45"/>
      <c r="H894" s="45"/>
      <c r="I894" s="265"/>
      <c r="J894" s="265"/>
      <c r="K894" s="45"/>
      <c r="L894" s="243"/>
      <c r="M894" s="243"/>
      <c r="N894" s="265"/>
      <c r="O894" s="265"/>
      <c r="P894" s="265"/>
      <c r="Q894" s="266"/>
      <c r="R894" s="243"/>
    </row>
    <row r="895" spans="3:18" customFormat="1" x14ac:dyDescent="0.25">
      <c r="C895" s="243"/>
      <c r="D895" s="45"/>
      <c r="E895" s="45"/>
      <c r="F895" s="45"/>
      <c r="G895" s="45"/>
      <c r="H895" s="45"/>
      <c r="I895" s="265"/>
      <c r="J895" s="265"/>
      <c r="K895" s="45"/>
      <c r="L895" s="243"/>
      <c r="M895" s="243"/>
      <c r="N895" s="265"/>
      <c r="O895" s="265"/>
      <c r="P895" s="265"/>
      <c r="Q895" s="266"/>
      <c r="R895" s="243"/>
    </row>
    <row r="896" spans="3:18" customFormat="1" x14ac:dyDescent="0.25">
      <c r="C896" s="243"/>
      <c r="D896" s="45"/>
      <c r="E896" s="45"/>
      <c r="F896" s="45"/>
      <c r="G896" s="45"/>
      <c r="H896" s="45"/>
      <c r="I896" s="265"/>
      <c r="J896" s="265"/>
      <c r="K896" s="45"/>
      <c r="L896" s="243"/>
      <c r="M896" s="243"/>
      <c r="N896" s="265"/>
      <c r="O896" s="265"/>
      <c r="P896" s="265"/>
      <c r="Q896" s="266"/>
      <c r="R896" s="243"/>
    </row>
    <row r="897" spans="3:18" customFormat="1" x14ac:dyDescent="0.25">
      <c r="C897" s="243"/>
      <c r="D897" s="45"/>
      <c r="E897" s="45"/>
      <c r="F897" s="45"/>
      <c r="G897" s="45"/>
      <c r="H897" s="45"/>
      <c r="I897" s="265"/>
      <c r="J897" s="265"/>
      <c r="K897" s="45"/>
      <c r="L897" s="243"/>
      <c r="M897" s="243"/>
      <c r="N897" s="265"/>
      <c r="O897" s="265"/>
      <c r="P897" s="265"/>
      <c r="Q897" s="266"/>
      <c r="R897" s="243"/>
    </row>
    <row r="898" spans="3:18" customFormat="1" x14ac:dyDescent="0.25">
      <c r="C898" s="243"/>
      <c r="D898" s="45"/>
      <c r="E898" s="45"/>
      <c r="F898" s="45"/>
      <c r="G898" s="45"/>
      <c r="H898" s="45"/>
      <c r="I898" s="265"/>
      <c r="J898" s="265"/>
      <c r="K898" s="45"/>
      <c r="L898" s="243"/>
      <c r="M898" s="243"/>
      <c r="N898" s="265"/>
      <c r="O898" s="265"/>
      <c r="P898" s="265"/>
      <c r="Q898" s="266"/>
      <c r="R898" s="243"/>
    </row>
    <row r="899" spans="3:18" customFormat="1" x14ac:dyDescent="0.25">
      <c r="C899" s="243"/>
      <c r="D899" s="45"/>
      <c r="E899" s="45"/>
      <c r="F899" s="45"/>
      <c r="G899" s="45"/>
      <c r="H899" s="45"/>
      <c r="I899" s="265"/>
      <c r="J899" s="265"/>
      <c r="K899" s="45"/>
      <c r="L899" s="243"/>
      <c r="M899" s="243"/>
      <c r="N899" s="265"/>
      <c r="O899" s="265"/>
      <c r="P899" s="265"/>
      <c r="Q899" s="266"/>
      <c r="R899" s="243"/>
    </row>
    <row r="900" spans="3:18" customFormat="1" x14ac:dyDescent="0.25">
      <c r="C900" s="243"/>
      <c r="D900" s="45"/>
      <c r="E900" s="45"/>
      <c r="F900" s="45"/>
      <c r="G900" s="45"/>
      <c r="H900" s="45"/>
      <c r="I900" s="265"/>
      <c r="J900" s="265"/>
      <c r="K900" s="45"/>
      <c r="L900" s="243"/>
      <c r="M900" s="243"/>
      <c r="N900" s="265"/>
      <c r="O900" s="265"/>
      <c r="P900" s="265"/>
      <c r="Q900" s="266"/>
      <c r="R900" s="243"/>
    </row>
    <row r="901" spans="3:18" customFormat="1" x14ac:dyDescent="0.25">
      <c r="C901" s="243"/>
      <c r="D901" s="45"/>
      <c r="E901" s="45"/>
      <c r="F901" s="45"/>
      <c r="G901" s="45"/>
      <c r="H901" s="45"/>
      <c r="I901" s="265"/>
      <c r="J901" s="265"/>
      <c r="K901" s="45"/>
      <c r="L901" s="243"/>
      <c r="M901" s="243"/>
      <c r="N901" s="265"/>
      <c r="O901" s="265"/>
      <c r="P901" s="265"/>
      <c r="Q901" s="266"/>
      <c r="R901" s="243"/>
    </row>
    <row r="902" spans="3:18" customFormat="1" x14ac:dyDescent="0.25">
      <c r="C902" s="243"/>
      <c r="D902" s="45"/>
      <c r="E902" s="45"/>
      <c r="F902" s="45"/>
      <c r="G902" s="45"/>
      <c r="H902" s="45"/>
      <c r="I902" s="265"/>
      <c r="J902" s="265"/>
      <c r="K902" s="45"/>
      <c r="L902" s="243"/>
      <c r="M902" s="243"/>
      <c r="N902" s="265"/>
      <c r="O902" s="265"/>
      <c r="P902" s="265"/>
      <c r="Q902" s="266"/>
      <c r="R902" s="243"/>
    </row>
    <row r="903" spans="3:18" customFormat="1" x14ac:dyDescent="0.25">
      <c r="C903" s="243"/>
      <c r="D903" s="45"/>
      <c r="E903" s="45"/>
      <c r="F903" s="45"/>
      <c r="G903" s="45"/>
      <c r="H903" s="45"/>
      <c r="I903" s="265"/>
      <c r="J903" s="265"/>
      <c r="K903" s="45"/>
      <c r="L903" s="243"/>
      <c r="M903" s="243"/>
      <c r="N903" s="265"/>
      <c r="O903" s="265"/>
      <c r="P903" s="265"/>
      <c r="Q903" s="266"/>
      <c r="R903" s="243"/>
    </row>
    <row r="904" spans="3:18" customFormat="1" x14ac:dyDescent="0.25">
      <c r="C904" s="243"/>
      <c r="D904" s="45"/>
      <c r="E904" s="45"/>
      <c r="F904" s="45"/>
      <c r="G904" s="45"/>
      <c r="H904" s="45"/>
      <c r="I904" s="265"/>
      <c r="J904" s="265"/>
      <c r="K904" s="45"/>
      <c r="L904" s="243"/>
      <c r="M904" s="243"/>
      <c r="N904" s="265"/>
      <c r="O904" s="265"/>
      <c r="P904" s="265"/>
      <c r="Q904" s="266"/>
      <c r="R904" s="243"/>
    </row>
    <row r="905" spans="3:18" customFormat="1" x14ac:dyDescent="0.25">
      <c r="C905" s="243"/>
      <c r="D905" s="45"/>
      <c r="E905" s="45"/>
      <c r="F905" s="45"/>
      <c r="G905" s="45"/>
      <c r="H905" s="45"/>
      <c r="I905" s="265"/>
      <c r="J905" s="265"/>
      <c r="K905" s="45"/>
      <c r="L905" s="243"/>
      <c r="M905" s="243"/>
      <c r="N905" s="265"/>
      <c r="O905" s="265"/>
      <c r="P905" s="265"/>
      <c r="Q905" s="266"/>
      <c r="R905" s="243"/>
    </row>
    <row r="906" spans="3:18" customFormat="1" x14ac:dyDescent="0.25">
      <c r="C906" s="243"/>
      <c r="D906" s="45"/>
      <c r="E906" s="45"/>
      <c r="F906" s="45"/>
      <c r="G906" s="45"/>
      <c r="H906" s="45"/>
      <c r="I906" s="265"/>
      <c r="J906" s="265"/>
      <c r="K906" s="45"/>
      <c r="L906" s="243"/>
      <c r="M906" s="243"/>
      <c r="N906" s="265"/>
      <c r="O906" s="265"/>
      <c r="P906" s="265"/>
      <c r="Q906" s="266"/>
      <c r="R906" s="243"/>
    </row>
    <row r="907" spans="3:18" customFormat="1" x14ac:dyDescent="0.25">
      <c r="C907" s="243"/>
      <c r="D907" s="45"/>
      <c r="E907" s="45"/>
      <c r="F907" s="45"/>
      <c r="G907" s="45"/>
      <c r="H907" s="45"/>
      <c r="I907" s="265"/>
      <c r="J907" s="265"/>
      <c r="K907" s="45"/>
      <c r="L907" s="243"/>
      <c r="M907" s="243"/>
      <c r="N907" s="265"/>
      <c r="O907" s="265"/>
      <c r="P907" s="265"/>
      <c r="Q907" s="266"/>
      <c r="R907" s="243"/>
    </row>
    <row r="908" spans="3:18" customFormat="1" x14ac:dyDescent="0.25">
      <c r="C908" s="243"/>
      <c r="D908" s="45"/>
      <c r="E908" s="45"/>
      <c r="F908" s="45"/>
      <c r="G908" s="45"/>
      <c r="H908" s="45"/>
      <c r="I908" s="265"/>
      <c r="J908" s="265"/>
      <c r="K908" s="45"/>
      <c r="L908" s="243"/>
      <c r="M908" s="243"/>
      <c r="N908" s="265"/>
      <c r="O908" s="265"/>
      <c r="P908" s="265"/>
      <c r="Q908" s="266"/>
      <c r="R908" s="243"/>
    </row>
    <row r="909" spans="3:18" customFormat="1" x14ac:dyDescent="0.25">
      <c r="C909" s="243"/>
      <c r="D909" s="45"/>
      <c r="E909" s="45"/>
      <c r="F909" s="45"/>
      <c r="G909" s="45"/>
      <c r="H909" s="45"/>
      <c r="I909" s="265"/>
      <c r="J909" s="265"/>
      <c r="K909" s="45"/>
      <c r="L909" s="243"/>
      <c r="M909" s="243"/>
      <c r="N909" s="265"/>
      <c r="O909" s="265"/>
      <c r="P909" s="265"/>
      <c r="Q909" s="266"/>
      <c r="R909" s="243"/>
    </row>
    <row r="910" spans="3:18" customFormat="1" x14ac:dyDescent="0.25">
      <c r="C910" s="243"/>
      <c r="D910" s="45"/>
      <c r="E910" s="45"/>
      <c r="F910" s="45"/>
      <c r="G910" s="45"/>
      <c r="H910" s="45"/>
      <c r="I910" s="265"/>
      <c r="J910" s="265"/>
      <c r="K910" s="45"/>
      <c r="L910" s="243"/>
      <c r="M910" s="243"/>
      <c r="N910" s="265"/>
      <c r="O910" s="265"/>
      <c r="P910" s="265"/>
      <c r="Q910" s="266"/>
      <c r="R910" s="243"/>
    </row>
    <row r="911" spans="3:18" customFormat="1" x14ac:dyDescent="0.25">
      <c r="C911" s="243"/>
      <c r="D911" s="45"/>
      <c r="E911" s="45"/>
      <c r="F911" s="45"/>
      <c r="G911" s="45"/>
      <c r="H911" s="45"/>
      <c r="I911" s="265"/>
      <c r="J911" s="265"/>
      <c r="K911" s="45"/>
      <c r="L911" s="243"/>
      <c r="M911" s="243"/>
      <c r="N911" s="265"/>
      <c r="O911" s="265"/>
      <c r="P911" s="265"/>
      <c r="Q911" s="266"/>
      <c r="R911" s="243"/>
    </row>
    <row r="912" spans="3:18" customFormat="1" x14ac:dyDescent="0.25">
      <c r="C912" s="243"/>
      <c r="D912" s="45"/>
      <c r="E912" s="45"/>
      <c r="F912" s="45"/>
      <c r="G912" s="45"/>
      <c r="H912" s="45"/>
      <c r="I912" s="265"/>
      <c r="J912" s="265"/>
      <c r="K912" s="45"/>
      <c r="L912" s="243"/>
      <c r="M912" s="243"/>
      <c r="N912" s="265"/>
      <c r="O912" s="265"/>
      <c r="P912" s="265"/>
      <c r="Q912" s="266"/>
      <c r="R912" s="243"/>
    </row>
    <row r="913" spans="3:18" customFormat="1" x14ac:dyDescent="0.25">
      <c r="C913" s="243"/>
      <c r="D913" s="45"/>
      <c r="E913" s="45"/>
      <c r="F913" s="45"/>
      <c r="G913" s="45"/>
      <c r="H913" s="45"/>
      <c r="I913" s="265"/>
      <c r="J913" s="265"/>
      <c r="K913" s="45"/>
      <c r="L913" s="243"/>
      <c r="M913" s="243"/>
      <c r="N913" s="265"/>
      <c r="O913" s="265"/>
      <c r="P913" s="265"/>
      <c r="Q913" s="266"/>
      <c r="R913" s="243"/>
    </row>
    <row r="914" spans="3:18" customFormat="1" x14ac:dyDescent="0.25">
      <c r="C914" s="243"/>
      <c r="D914" s="45"/>
      <c r="E914" s="45"/>
      <c r="F914" s="45"/>
      <c r="G914" s="45"/>
      <c r="H914" s="45"/>
      <c r="I914" s="265"/>
      <c r="J914" s="265"/>
      <c r="K914" s="45"/>
      <c r="L914" s="243"/>
      <c r="M914" s="243"/>
      <c r="N914" s="265"/>
      <c r="O914" s="265"/>
      <c r="P914" s="265"/>
      <c r="Q914" s="266"/>
      <c r="R914" s="243"/>
    </row>
    <row r="915" spans="3:18" customFormat="1" x14ac:dyDescent="0.25">
      <c r="C915" s="243"/>
      <c r="D915" s="45"/>
      <c r="E915" s="45"/>
      <c r="F915" s="45"/>
      <c r="G915" s="45"/>
      <c r="H915" s="45"/>
      <c r="I915" s="265"/>
      <c r="J915" s="265"/>
      <c r="K915" s="45"/>
      <c r="L915" s="243"/>
      <c r="M915" s="243"/>
      <c r="N915" s="265"/>
      <c r="O915" s="265"/>
      <c r="P915" s="265"/>
      <c r="Q915" s="266"/>
      <c r="R915" s="243"/>
    </row>
    <row r="916" spans="3:18" customFormat="1" x14ac:dyDescent="0.25">
      <c r="C916" s="243"/>
      <c r="D916" s="45"/>
      <c r="E916" s="45"/>
      <c r="F916" s="45"/>
      <c r="G916" s="45"/>
      <c r="H916" s="45"/>
      <c r="I916" s="265"/>
      <c r="J916" s="265"/>
      <c r="K916" s="45"/>
      <c r="L916" s="243"/>
      <c r="M916" s="243"/>
      <c r="N916" s="265"/>
      <c r="O916" s="265"/>
      <c r="P916" s="265"/>
      <c r="Q916" s="266"/>
      <c r="R916" s="243"/>
    </row>
    <row r="917" spans="3:18" customFormat="1" x14ac:dyDescent="0.25">
      <c r="C917" s="243"/>
      <c r="D917" s="45"/>
      <c r="E917" s="45"/>
      <c r="F917" s="45"/>
      <c r="G917" s="45"/>
      <c r="H917" s="45"/>
      <c r="I917" s="265"/>
      <c r="J917" s="265"/>
      <c r="K917" s="45"/>
      <c r="L917" s="243"/>
      <c r="M917" s="243"/>
      <c r="N917" s="265"/>
      <c r="O917" s="265"/>
      <c r="P917" s="265"/>
      <c r="Q917" s="266"/>
      <c r="R917" s="243"/>
    </row>
    <row r="918" spans="3:18" customFormat="1" x14ac:dyDescent="0.25">
      <c r="C918" s="243"/>
      <c r="D918" s="45"/>
      <c r="E918" s="45"/>
      <c r="F918" s="45"/>
      <c r="G918" s="45"/>
      <c r="H918" s="45"/>
      <c r="I918" s="265"/>
      <c r="J918" s="265"/>
      <c r="K918" s="45"/>
      <c r="L918" s="243"/>
      <c r="M918" s="243"/>
      <c r="N918" s="265"/>
      <c r="O918" s="265"/>
      <c r="P918" s="265"/>
      <c r="Q918" s="266"/>
      <c r="R918" s="243"/>
    </row>
    <row r="919" spans="3:18" customFormat="1" x14ac:dyDescent="0.25">
      <c r="C919" s="243"/>
      <c r="D919" s="45"/>
      <c r="E919" s="45"/>
      <c r="F919" s="45"/>
      <c r="G919" s="45"/>
      <c r="H919" s="45"/>
      <c r="I919" s="265"/>
      <c r="J919" s="265"/>
      <c r="K919" s="45"/>
      <c r="L919" s="243"/>
      <c r="M919" s="243"/>
      <c r="N919" s="265"/>
      <c r="O919" s="265"/>
      <c r="P919" s="265"/>
      <c r="Q919" s="266"/>
      <c r="R919" s="243"/>
    </row>
    <row r="920" spans="3:18" customFormat="1" x14ac:dyDescent="0.25">
      <c r="C920" s="243"/>
      <c r="D920" s="45"/>
      <c r="E920" s="45"/>
      <c r="F920" s="45"/>
      <c r="G920" s="45"/>
      <c r="H920" s="45"/>
      <c r="I920" s="265"/>
      <c r="J920" s="265"/>
      <c r="K920" s="45"/>
      <c r="L920" s="243"/>
      <c r="M920" s="243"/>
      <c r="N920" s="265"/>
      <c r="O920" s="265"/>
      <c r="P920" s="265"/>
      <c r="Q920" s="266"/>
      <c r="R920" s="243"/>
    </row>
    <row r="921" spans="3:18" customFormat="1" x14ac:dyDescent="0.25">
      <c r="C921" s="243"/>
      <c r="D921" s="45"/>
      <c r="E921" s="45"/>
      <c r="F921" s="45"/>
      <c r="G921" s="45"/>
      <c r="H921" s="45"/>
      <c r="I921" s="265"/>
      <c r="J921" s="265"/>
      <c r="K921" s="45"/>
      <c r="L921" s="243"/>
      <c r="M921" s="243"/>
      <c r="N921" s="265"/>
      <c r="O921" s="265"/>
      <c r="P921" s="265"/>
      <c r="Q921" s="266"/>
      <c r="R921" s="243"/>
    </row>
    <row r="922" spans="3:18" customFormat="1" x14ac:dyDescent="0.25">
      <c r="C922" s="243"/>
      <c r="D922" s="45"/>
      <c r="E922" s="45"/>
      <c r="F922" s="45"/>
      <c r="G922" s="45"/>
      <c r="H922" s="45"/>
      <c r="I922" s="265"/>
      <c r="J922" s="265"/>
      <c r="K922" s="45"/>
      <c r="L922" s="243"/>
      <c r="M922" s="243"/>
      <c r="N922" s="265"/>
      <c r="O922" s="265"/>
      <c r="P922" s="265"/>
      <c r="Q922" s="266"/>
      <c r="R922" s="243"/>
    </row>
    <row r="923" spans="3:18" customFormat="1" x14ac:dyDescent="0.25">
      <c r="C923" s="243"/>
      <c r="D923" s="45"/>
      <c r="E923" s="45"/>
      <c r="F923" s="45"/>
      <c r="G923" s="45"/>
      <c r="H923" s="45"/>
      <c r="I923" s="265"/>
      <c r="J923" s="265"/>
      <c r="K923" s="45"/>
      <c r="L923" s="243"/>
      <c r="M923" s="243"/>
      <c r="N923" s="265"/>
      <c r="O923" s="265"/>
      <c r="P923" s="265"/>
      <c r="Q923" s="266"/>
      <c r="R923" s="243"/>
    </row>
    <row r="924" spans="3:18" customFormat="1" x14ac:dyDescent="0.25">
      <c r="C924" s="243"/>
      <c r="D924" s="45"/>
      <c r="E924" s="45"/>
      <c r="F924" s="45"/>
      <c r="G924" s="45"/>
      <c r="H924" s="45"/>
      <c r="I924" s="265"/>
      <c r="J924" s="265"/>
      <c r="K924" s="45"/>
      <c r="L924" s="243"/>
      <c r="M924" s="243"/>
      <c r="N924" s="265"/>
      <c r="O924" s="265"/>
      <c r="P924" s="265"/>
      <c r="Q924" s="266"/>
      <c r="R924" s="243"/>
    </row>
    <row r="925" spans="3:18" customFormat="1" x14ac:dyDescent="0.25">
      <c r="C925" s="243"/>
      <c r="D925" s="45"/>
      <c r="E925" s="45"/>
      <c r="F925" s="45"/>
      <c r="G925" s="45"/>
      <c r="H925" s="45"/>
      <c r="I925" s="265"/>
      <c r="J925" s="265"/>
      <c r="K925" s="45"/>
      <c r="L925" s="243"/>
      <c r="M925" s="243"/>
      <c r="N925" s="265"/>
      <c r="O925" s="265"/>
      <c r="P925" s="265"/>
      <c r="Q925" s="266"/>
      <c r="R925" s="243"/>
    </row>
    <row r="926" spans="3:18" customFormat="1" x14ac:dyDescent="0.25">
      <c r="C926" s="243"/>
      <c r="D926" s="45"/>
      <c r="E926" s="45"/>
      <c r="F926" s="45"/>
      <c r="G926" s="45"/>
      <c r="H926" s="45"/>
      <c r="I926" s="265"/>
      <c r="J926" s="265"/>
      <c r="K926" s="45"/>
      <c r="L926" s="243"/>
      <c r="M926" s="243"/>
      <c r="N926" s="265"/>
      <c r="O926" s="265"/>
      <c r="P926" s="265"/>
      <c r="Q926" s="266"/>
      <c r="R926" s="243"/>
    </row>
    <row r="927" spans="3:18" customFormat="1" x14ac:dyDescent="0.25">
      <c r="C927" s="243"/>
      <c r="D927" s="45"/>
      <c r="E927" s="45"/>
      <c r="F927" s="45"/>
      <c r="G927" s="45"/>
      <c r="H927" s="45"/>
      <c r="I927" s="265"/>
      <c r="J927" s="265"/>
      <c r="K927" s="45"/>
      <c r="L927" s="243"/>
      <c r="M927" s="243"/>
      <c r="N927" s="265"/>
      <c r="O927" s="265"/>
      <c r="P927" s="265"/>
      <c r="Q927" s="266"/>
      <c r="R927" s="243"/>
    </row>
    <row r="928" spans="3:18" customFormat="1" x14ac:dyDescent="0.25">
      <c r="C928" s="243"/>
      <c r="D928" s="45"/>
      <c r="E928" s="45"/>
      <c r="F928" s="45"/>
      <c r="G928" s="45"/>
      <c r="H928" s="45"/>
      <c r="I928" s="265"/>
      <c r="J928" s="265"/>
      <c r="K928" s="45"/>
      <c r="L928" s="243"/>
      <c r="M928" s="243"/>
      <c r="N928" s="265"/>
      <c r="O928" s="265"/>
      <c r="P928" s="265"/>
      <c r="Q928" s="266"/>
      <c r="R928" s="243"/>
    </row>
    <row r="929" spans="3:18" customFormat="1" x14ac:dyDescent="0.25">
      <c r="C929" s="243"/>
      <c r="D929" s="45"/>
      <c r="E929" s="45"/>
      <c r="F929" s="45"/>
      <c r="G929" s="45"/>
      <c r="H929" s="45"/>
      <c r="I929" s="265"/>
      <c r="J929" s="265"/>
      <c r="K929" s="45"/>
      <c r="L929" s="243"/>
      <c r="M929" s="243"/>
      <c r="N929" s="265"/>
      <c r="O929" s="265"/>
      <c r="P929" s="265"/>
      <c r="Q929" s="266"/>
      <c r="R929" s="243"/>
    </row>
    <row r="930" spans="3:18" customFormat="1" x14ac:dyDescent="0.25">
      <c r="C930" s="243"/>
      <c r="D930" s="45"/>
      <c r="E930" s="45"/>
      <c r="F930" s="45"/>
      <c r="G930" s="45"/>
      <c r="H930" s="45"/>
      <c r="I930" s="265"/>
      <c r="J930" s="265"/>
      <c r="K930" s="45"/>
      <c r="L930" s="243"/>
      <c r="M930" s="243"/>
      <c r="N930" s="265"/>
      <c r="O930" s="265"/>
      <c r="P930" s="265"/>
      <c r="Q930" s="266"/>
      <c r="R930" s="243"/>
    </row>
    <row r="931" spans="3:18" customFormat="1" x14ac:dyDescent="0.25">
      <c r="C931" s="243"/>
      <c r="D931" s="45"/>
      <c r="E931" s="45"/>
      <c r="F931" s="45"/>
      <c r="G931" s="45"/>
      <c r="H931" s="45"/>
      <c r="I931" s="265"/>
      <c r="J931" s="265"/>
      <c r="K931" s="45"/>
      <c r="L931" s="243"/>
      <c r="M931" s="243"/>
      <c r="N931" s="265"/>
      <c r="O931" s="265"/>
      <c r="P931" s="265"/>
      <c r="Q931" s="266"/>
      <c r="R931" s="243"/>
    </row>
    <row r="932" spans="3:18" customFormat="1" x14ac:dyDescent="0.25">
      <c r="C932" s="243"/>
      <c r="D932" s="45"/>
      <c r="E932" s="45"/>
      <c r="F932" s="45"/>
      <c r="G932" s="45"/>
      <c r="H932" s="45"/>
      <c r="I932" s="265"/>
      <c r="J932" s="265"/>
      <c r="K932" s="45"/>
      <c r="L932" s="243"/>
      <c r="M932" s="243"/>
      <c r="N932" s="265"/>
      <c r="O932" s="265"/>
      <c r="P932" s="265"/>
      <c r="Q932" s="266"/>
      <c r="R932" s="243"/>
    </row>
    <row r="933" spans="3:18" customFormat="1" x14ac:dyDescent="0.25">
      <c r="C933" s="243"/>
      <c r="D933" s="45"/>
      <c r="E933" s="45"/>
      <c r="F933" s="45"/>
      <c r="G933" s="45"/>
      <c r="H933" s="45"/>
      <c r="I933" s="265"/>
      <c r="J933" s="265"/>
      <c r="K933" s="45"/>
      <c r="L933" s="243"/>
      <c r="M933" s="243"/>
      <c r="N933" s="265"/>
      <c r="O933" s="265"/>
      <c r="P933" s="265"/>
      <c r="Q933" s="266"/>
      <c r="R933" s="243"/>
    </row>
    <row r="934" spans="3:18" customFormat="1" x14ac:dyDescent="0.25">
      <c r="C934" s="243"/>
      <c r="D934" s="45"/>
      <c r="E934" s="45"/>
      <c r="F934" s="45"/>
      <c r="G934" s="45"/>
      <c r="H934" s="45"/>
      <c r="I934" s="265"/>
      <c r="J934" s="265"/>
      <c r="K934" s="45"/>
      <c r="L934" s="243"/>
      <c r="M934" s="243"/>
      <c r="N934" s="265"/>
      <c r="O934" s="265"/>
      <c r="P934" s="265"/>
      <c r="Q934" s="266"/>
      <c r="R934" s="243"/>
    </row>
    <row r="935" spans="3:18" customFormat="1" x14ac:dyDescent="0.25">
      <c r="C935" s="243"/>
      <c r="D935" s="45"/>
      <c r="E935" s="45"/>
      <c r="F935" s="45"/>
      <c r="G935" s="45"/>
      <c r="H935" s="45"/>
      <c r="I935" s="265"/>
      <c r="J935" s="265"/>
      <c r="K935" s="45"/>
      <c r="L935" s="243"/>
      <c r="M935" s="243"/>
      <c r="N935" s="265"/>
      <c r="O935" s="265"/>
      <c r="P935" s="265"/>
      <c r="Q935" s="266"/>
      <c r="R935" s="243"/>
    </row>
    <row r="936" spans="3:18" customFormat="1" x14ac:dyDescent="0.25">
      <c r="C936" s="243"/>
      <c r="D936" s="45"/>
      <c r="E936" s="45"/>
      <c r="F936" s="45"/>
      <c r="G936" s="45"/>
      <c r="H936" s="45"/>
      <c r="I936" s="265"/>
      <c r="J936" s="265"/>
      <c r="K936" s="45"/>
      <c r="L936" s="243"/>
      <c r="M936" s="243"/>
      <c r="N936" s="265"/>
      <c r="O936" s="265"/>
      <c r="P936" s="265"/>
      <c r="Q936" s="266"/>
      <c r="R936" s="243"/>
    </row>
    <row r="937" spans="3:18" customFormat="1" x14ac:dyDescent="0.25">
      <c r="C937" s="243"/>
      <c r="D937" s="45"/>
      <c r="E937" s="45"/>
      <c r="F937" s="45"/>
      <c r="G937" s="45"/>
      <c r="H937" s="45"/>
      <c r="I937" s="265"/>
      <c r="J937" s="265"/>
      <c r="K937" s="45"/>
      <c r="L937" s="243"/>
      <c r="M937" s="243"/>
      <c r="N937" s="265"/>
      <c r="O937" s="265"/>
      <c r="P937" s="265"/>
      <c r="Q937" s="266"/>
      <c r="R937" s="243"/>
    </row>
    <row r="938" spans="3:18" customFormat="1" x14ac:dyDescent="0.25">
      <c r="C938" s="243"/>
      <c r="D938" s="45"/>
      <c r="E938" s="45"/>
      <c r="F938" s="45"/>
      <c r="G938" s="45"/>
      <c r="H938" s="45"/>
      <c r="I938" s="265"/>
      <c r="J938" s="265"/>
      <c r="K938" s="45"/>
      <c r="L938" s="243"/>
      <c r="M938" s="243"/>
      <c r="N938" s="265"/>
      <c r="O938" s="265"/>
      <c r="P938" s="265"/>
      <c r="Q938" s="266"/>
      <c r="R938" s="243"/>
    </row>
    <row r="939" spans="3:18" customFormat="1" x14ac:dyDescent="0.25">
      <c r="C939" s="243"/>
      <c r="D939" s="45"/>
      <c r="E939" s="45"/>
      <c r="F939" s="45"/>
      <c r="G939" s="45"/>
      <c r="H939" s="45"/>
      <c r="I939" s="265"/>
      <c r="J939" s="265"/>
      <c r="K939" s="45"/>
      <c r="L939" s="243"/>
      <c r="M939" s="243"/>
      <c r="N939" s="265"/>
      <c r="O939" s="265"/>
      <c r="P939" s="265"/>
      <c r="Q939" s="266"/>
      <c r="R939" s="243"/>
    </row>
    <row r="940" spans="3:18" customFormat="1" x14ac:dyDescent="0.25">
      <c r="C940" s="243"/>
      <c r="D940" s="45"/>
      <c r="E940" s="45"/>
      <c r="F940" s="45"/>
      <c r="G940" s="45"/>
      <c r="H940" s="45"/>
      <c r="I940" s="265"/>
      <c r="J940" s="265"/>
      <c r="K940" s="45"/>
      <c r="L940" s="243"/>
      <c r="M940" s="243"/>
      <c r="N940" s="265"/>
      <c r="O940" s="265"/>
      <c r="P940" s="265"/>
      <c r="Q940" s="266"/>
      <c r="R940" s="243"/>
    </row>
    <row r="941" spans="3:18" customFormat="1" x14ac:dyDescent="0.25">
      <c r="C941" s="243"/>
      <c r="D941" s="45"/>
      <c r="E941" s="45"/>
      <c r="F941" s="45"/>
      <c r="G941" s="45"/>
      <c r="H941" s="45"/>
      <c r="I941" s="265"/>
      <c r="J941" s="265"/>
      <c r="K941" s="45"/>
      <c r="L941" s="243"/>
      <c r="M941" s="243"/>
      <c r="N941" s="265"/>
      <c r="O941" s="265"/>
      <c r="P941" s="265"/>
      <c r="Q941" s="266"/>
      <c r="R941" s="243"/>
    </row>
    <row r="942" spans="3:18" customFormat="1" x14ac:dyDescent="0.25">
      <c r="C942" s="243"/>
      <c r="D942" s="45"/>
      <c r="E942" s="45"/>
      <c r="F942" s="45"/>
      <c r="G942" s="45"/>
      <c r="H942" s="45"/>
      <c r="I942" s="265"/>
      <c r="J942" s="265"/>
      <c r="K942" s="45"/>
      <c r="L942" s="243"/>
      <c r="M942" s="243"/>
      <c r="N942" s="265"/>
      <c r="O942" s="265"/>
      <c r="P942" s="265"/>
      <c r="Q942" s="266"/>
      <c r="R942" s="243"/>
    </row>
    <row r="943" spans="3:18" customFormat="1" x14ac:dyDescent="0.25">
      <c r="C943" s="243"/>
      <c r="D943" s="45"/>
      <c r="E943" s="45"/>
      <c r="F943" s="45"/>
      <c r="G943" s="45"/>
      <c r="H943" s="45"/>
      <c r="I943" s="265"/>
      <c r="J943" s="265"/>
      <c r="K943" s="45"/>
      <c r="L943" s="243"/>
      <c r="M943" s="243"/>
      <c r="N943" s="265"/>
      <c r="O943" s="265"/>
      <c r="P943" s="265"/>
      <c r="Q943" s="266"/>
      <c r="R943" s="243"/>
    </row>
    <row r="944" spans="3:18" customFormat="1" x14ac:dyDescent="0.25">
      <c r="C944" s="243"/>
      <c r="D944" s="45"/>
      <c r="E944" s="45"/>
      <c r="F944" s="45"/>
      <c r="G944" s="45"/>
      <c r="H944" s="45"/>
      <c r="I944" s="265"/>
      <c r="J944" s="265"/>
      <c r="K944" s="45"/>
      <c r="L944" s="243"/>
      <c r="M944" s="243"/>
      <c r="N944" s="265"/>
      <c r="O944" s="265"/>
      <c r="P944" s="265"/>
      <c r="Q944" s="266"/>
      <c r="R944" s="243"/>
    </row>
    <row r="945" spans="3:18" customFormat="1" x14ac:dyDescent="0.25">
      <c r="C945" s="243"/>
      <c r="D945" s="45"/>
      <c r="E945" s="45"/>
      <c r="F945" s="45"/>
      <c r="G945" s="45"/>
      <c r="H945" s="45"/>
      <c r="I945" s="265"/>
      <c r="J945" s="265"/>
      <c r="K945" s="45"/>
      <c r="L945" s="243"/>
      <c r="M945" s="243"/>
      <c r="N945" s="265"/>
      <c r="O945" s="265"/>
      <c r="P945" s="265"/>
      <c r="Q945" s="266"/>
      <c r="R945" s="243"/>
    </row>
    <row r="946" spans="3:18" customFormat="1" x14ac:dyDescent="0.25">
      <c r="C946" s="243"/>
      <c r="D946" s="45"/>
      <c r="E946" s="45"/>
      <c r="F946" s="45"/>
      <c r="G946" s="45"/>
      <c r="H946" s="45"/>
      <c r="I946" s="265"/>
      <c r="J946" s="265"/>
      <c r="K946" s="45"/>
      <c r="L946" s="243"/>
      <c r="M946" s="243"/>
      <c r="N946" s="265"/>
      <c r="O946" s="265"/>
      <c r="P946" s="265"/>
      <c r="Q946" s="266"/>
      <c r="R946" s="243"/>
    </row>
    <row r="947" spans="3:18" customFormat="1" x14ac:dyDescent="0.25">
      <c r="C947" s="243"/>
      <c r="D947" s="45"/>
      <c r="E947" s="45"/>
      <c r="F947" s="45"/>
      <c r="G947" s="45"/>
      <c r="H947" s="45"/>
      <c r="I947" s="265"/>
      <c r="J947" s="265"/>
      <c r="K947" s="45"/>
      <c r="L947" s="243"/>
      <c r="M947" s="243"/>
      <c r="N947" s="265"/>
      <c r="O947" s="265"/>
      <c r="P947" s="265"/>
      <c r="Q947" s="266"/>
      <c r="R947" s="243"/>
    </row>
    <row r="948" spans="3:18" customFormat="1" x14ac:dyDescent="0.25">
      <c r="C948" s="243"/>
      <c r="D948" s="45"/>
      <c r="E948" s="45"/>
      <c r="F948" s="45"/>
      <c r="G948" s="45"/>
      <c r="H948" s="45"/>
      <c r="I948" s="265"/>
      <c r="J948" s="265"/>
      <c r="K948" s="45"/>
      <c r="L948" s="243"/>
      <c r="M948" s="243"/>
      <c r="N948" s="265"/>
      <c r="O948" s="265"/>
      <c r="P948" s="265"/>
      <c r="Q948" s="266"/>
      <c r="R948" s="243"/>
    </row>
    <row r="949" spans="3:18" customFormat="1" x14ac:dyDescent="0.25">
      <c r="C949" s="243"/>
      <c r="D949" s="45"/>
      <c r="E949" s="45"/>
      <c r="F949" s="45"/>
      <c r="G949" s="45"/>
      <c r="H949" s="45"/>
      <c r="I949" s="265"/>
      <c r="J949" s="265"/>
      <c r="K949" s="45"/>
      <c r="L949" s="243"/>
      <c r="M949" s="243"/>
      <c r="N949" s="265"/>
      <c r="O949" s="265"/>
      <c r="P949" s="265"/>
      <c r="Q949" s="266"/>
      <c r="R949" s="243"/>
    </row>
    <row r="950" spans="3:18" customFormat="1" x14ac:dyDescent="0.25">
      <c r="C950" s="243"/>
      <c r="D950" s="45"/>
      <c r="E950" s="45"/>
      <c r="F950" s="45"/>
      <c r="G950" s="45"/>
      <c r="H950" s="45"/>
      <c r="I950" s="265"/>
      <c r="J950" s="265"/>
      <c r="K950" s="45"/>
      <c r="L950" s="243"/>
      <c r="M950" s="243"/>
      <c r="N950" s="265"/>
      <c r="O950" s="265"/>
      <c r="P950" s="265"/>
      <c r="Q950" s="266"/>
      <c r="R950" s="243"/>
    </row>
    <row r="951" spans="3:18" customFormat="1" x14ac:dyDescent="0.25">
      <c r="C951" s="243"/>
      <c r="D951" s="45"/>
      <c r="E951" s="45"/>
      <c r="F951" s="45"/>
      <c r="G951" s="45"/>
      <c r="H951" s="45"/>
      <c r="I951" s="265"/>
      <c r="J951" s="265"/>
      <c r="K951" s="45"/>
      <c r="L951" s="243"/>
      <c r="M951" s="243"/>
      <c r="N951" s="265"/>
      <c r="O951" s="265"/>
      <c r="P951" s="265"/>
      <c r="Q951" s="266"/>
      <c r="R951" s="243"/>
    </row>
    <row r="952" spans="3:18" customFormat="1" x14ac:dyDescent="0.25">
      <c r="C952" s="243"/>
      <c r="D952" s="45"/>
      <c r="E952" s="45"/>
      <c r="F952" s="45"/>
      <c r="G952" s="45"/>
      <c r="H952" s="45"/>
      <c r="I952" s="265"/>
      <c r="J952" s="265"/>
      <c r="K952" s="45"/>
      <c r="L952" s="243"/>
      <c r="M952" s="243"/>
      <c r="N952" s="265"/>
      <c r="O952" s="265"/>
      <c r="P952" s="265"/>
      <c r="Q952" s="266"/>
      <c r="R952" s="243"/>
    </row>
    <row r="953" spans="3:18" customFormat="1" x14ac:dyDescent="0.25">
      <c r="C953" s="243"/>
      <c r="D953" s="45"/>
      <c r="E953" s="45"/>
      <c r="F953" s="45"/>
      <c r="G953" s="45"/>
      <c r="H953" s="45"/>
      <c r="I953" s="265"/>
      <c r="J953" s="265"/>
      <c r="K953" s="45"/>
      <c r="L953" s="243"/>
      <c r="M953" s="243"/>
      <c r="N953" s="265"/>
      <c r="O953" s="265"/>
      <c r="P953" s="265"/>
      <c r="Q953" s="266"/>
      <c r="R953" s="243"/>
    </row>
    <row r="954" spans="3:18" customFormat="1" x14ac:dyDescent="0.25">
      <c r="C954" s="243"/>
      <c r="D954" s="45"/>
      <c r="E954" s="45"/>
      <c r="F954" s="45"/>
      <c r="G954" s="45"/>
      <c r="H954" s="45"/>
      <c r="I954" s="265"/>
      <c r="J954" s="265"/>
      <c r="K954" s="45"/>
      <c r="L954" s="243"/>
      <c r="M954" s="243"/>
      <c r="N954" s="265"/>
      <c r="O954" s="265"/>
      <c r="P954" s="265"/>
      <c r="Q954" s="266"/>
      <c r="R954" s="243"/>
    </row>
    <row r="955" spans="3:18" customFormat="1" x14ac:dyDescent="0.25">
      <c r="C955" s="243"/>
      <c r="D955" s="45"/>
      <c r="E955" s="45"/>
      <c r="F955" s="45"/>
      <c r="G955" s="45"/>
      <c r="H955" s="45"/>
      <c r="I955" s="265"/>
      <c r="J955" s="265"/>
      <c r="K955" s="45"/>
      <c r="L955" s="243"/>
      <c r="M955" s="243"/>
      <c r="N955" s="265"/>
      <c r="O955" s="265"/>
      <c r="P955" s="265"/>
      <c r="Q955" s="266"/>
      <c r="R955" s="243"/>
    </row>
    <row r="956" spans="3:18" customFormat="1" x14ac:dyDescent="0.25">
      <c r="C956" s="243"/>
      <c r="D956" s="45"/>
      <c r="E956" s="45"/>
      <c r="F956" s="45"/>
      <c r="G956" s="45"/>
      <c r="H956" s="45"/>
      <c r="I956" s="265"/>
      <c r="J956" s="265"/>
      <c r="K956" s="45"/>
      <c r="L956" s="243"/>
      <c r="M956" s="243"/>
      <c r="N956" s="265"/>
      <c r="O956" s="265"/>
      <c r="P956" s="265"/>
      <c r="Q956" s="266"/>
      <c r="R956" s="243"/>
    </row>
    <row r="957" spans="3:18" customFormat="1" x14ac:dyDescent="0.25">
      <c r="C957" s="243"/>
      <c r="D957" s="45"/>
      <c r="E957" s="45"/>
      <c r="F957" s="45"/>
      <c r="G957" s="45"/>
      <c r="H957" s="45"/>
      <c r="I957" s="265"/>
      <c r="J957" s="265"/>
      <c r="K957" s="45"/>
      <c r="L957" s="243"/>
      <c r="M957" s="243"/>
      <c r="N957" s="265"/>
      <c r="O957" s="265"/>
      <c r="P957" s="265"/>
      <c r="Q957" s="266"/>
      <c r="R957" s="243"/>
    </row>
    <row r="958" spans="3:18" customFormat="1" x14ac:dyDescent="0.25">
      <c r="C958" s="243"/>
      <c r="D958" s="45"/>
      <c r="E958" s="45"/>
      <c r="F958" s="45"/>
      <c r="G958" s="45"/>
      <c r="H958" s="45"/>
      <c r="I958" s="265"/>
      <c r="J958" s="265"/>
      <c r="K958" s="45"/>
      <c r="L958" s="243"/>
      <c r="M958" s="243"/>
      <c r="N958" s="265"/>
      <c r="O958" s="265"/>
      <c r="P958" s="265"/>
      <c r="Q958" s="266"/>
      <c r="R958" s="243"/>
    </row>
    <row r="959" spans="3:18" customFormat="1" x14ac:dyDescent="0.25">
      <c r="C959" s="243"/>
      <c r="D959" s="45"/>
      <c r="E959" s="45"/>
      <c r="F959" s="45"/>
      <c r="G959" s="45"/>
      <c r="H959" s="45"/>
      <c r="I959" s="265"/>
      <c r="J959" s="265"/>
      <c r="K959" s="45"/>
      <c r="L959" s="243"/>
      <c r="M959" s="243"/>
      <c r="N959" s="265"/>
      <c r="O959" s="265"/>
      <c r="P959" s="265"/>
      <c r="Q959" s="266"/>
      <c r="R959" s="243"/>
    </row>
    <row r="960" spans="3:18" customFormat="1" x14ac:dyDescent="0.25">
      <c r="C960" s="243"/>
      <c r="D960" s="45"/>
      <c r="E960" s="45"/>
      <c r="F960" s="45"/>
      <c r="G960" s="45"/>
      <c r="H960" s="45"/>
      <c r="I960" s="265"/>
      <c r="J960" s="265"/>
      <c r="K960" s="45"/>
      <c r="L960" s="243"/>
      <c r="M960" s="243"/>
      <c r="N960" s="265"/>
      <c r="O960" s="265"/>
      <c r="P960" s="265"/>
      <c r="Q960" s="266"/>
      <c r="R960" s="243"/>
    </row>
    <row r="961" spans="3:18" customFormat="1" x14ac:dyDescent="0.25">
      <c r="C961" s="243"/>
      <c r="D961" s="45"/>
      <c r="E961" s="45"/>
      <c r="F961" s="45"/>
      <c r="G961" s="45"/>
      <c r="H961" s="45"/>
      <c r="I961" s="265"/>
      <c r="J961" s="265"/>
      <c r="K961" s="45"/>
      <c r="L961" s="243"/>
      <c r="M961" s="243"/>
      <c r="N961" s="265"/>
      <c r="O961" s="265"/>
      <c r="P961" s="265"/>
      <c r="Q961" s="266"/>
      <c r="R961" s="243"/>
    </row>
    <row r="962" spans="3:18" customFormat="1" x14ac:dyDescent="0.25">
      <c r="C962" s="243"/>
      <c r="D962" s="45"/>
      <c r="E962" s="45"/>
      <c r="F962" s="45"/>
      <c r="G962" s="45"/>
      <c r="H962" s="45"/>
      <c r="I962" s="265"/>
      <c r="J962" s="265"/>
      <c r="K962" s="45"/>
      <c r="L962" s="243"/>
      <c r="M962" s="243"/>
      <c r="N962" s="265"/>
      <c r="O962" s="265"/>
      <c r="P962" s="265"/>
      <c r="Q962" s="266"/>
      <c r="R962" s="243"/>
    </row>
    <row r="963" spans="3:18" customFormat="1" x14ac:dyDescent="0.25">
      <c r="C963" s="243"/>
      <c r="D963" s="45"/>
      <c r="E963" s="45"/>
      <c r="F963" s="45"/>
      <c r="G963" s="45"/>
      <c r="H963" s="45"/>
      <c r="I963" s="265"/>
      <c r="J963" s="265"/>
      <c r="K963" s="45"/>
      <c r="L963" s="243"/>
      <c r="M963" s="243"/>
      <c r="N963" s="265"/>
      <c r="O963" s="265"/>
      <c r="P963" s="265"/>
      <c r="Q963" s="266"/>
      <c r="R963" s="243"/>
    </row>
    <row r="964" spans="3:18" customFormat="1" x14ac:dyDescent="0.25">
      <c r="C964" s="243"/>
      <c r="D964" s="45"/>
      <c r="E964" s="45"/>
      <c r="F964" s="45"/>
      <c r="G964" s="45"/>
      <c r="H964" s="45"/>
      <c r="I964" s="265"/>
      <c r="J964" s="265"/>
      <c r="K964" s="45"/>
      <c r="L964" s="243"/>
      <c r="M964" s="243"/>
      <c r="N964" s="265"/>
      <c r="O964" s="265"/>
      <c r="P964" s="265"/>
      <c r="Q964" s="266"/>
      <c r="R964" s="243"/>
    </row>
    <row r="965" spans="3:18" customFormat="1" x14ac:dyDescent="0.25">
      <c r="C965" s="243"/>
      <c r="D965" s="45"/>
      <c r="E965" s="45"/>
      <c r="F965" s="45"/>
      <c r="G965" s="45"/>
      <c r="H965" s="45"/>
      <c r="I965" s="265"/>
      <c r="J965" s="265"/>
      <c r="K965" s="45"/>
      <c r="L965" s="243"/>
      <c r="M965" s="243"/>
      <c r="N965" s="265"/>
      <c r="O965" s="265"/>
      <c r="P965" s="265"/>
      <c r="Q965" s="266"/>
      <c r="R965" s="243"/>
    </row>
    <row r="966" spans="3:18" customFormat="1" x14ac:dyDescent="0.25">
      <c r="C966" s="243"/>
      <c r="D966" s="45"/>
      <c r="E966" s="45"/>
      <c r="F966" s="45"/>
      <c r="G966" s="45"/>
      <c r="H966" s="45"/>
      <c r="I966" s="265"/>
      <c r="J966" s="265"/>
      <c r="K966" s="45"/>
      <c r="L966" s="243"/>
      <c r="M966" s="243"/>
      <c r="N966" s="265"/>
      <c r="O966" s="265"/>
      <c r="P966" s="265"/>
      <c r="Q966" s="266"/>
      <c r="R966" s="243"/>
    </row>
    <row r="967" spans="3:18" customFormat="1" x14ac:dyDescent="0.25">
      <c r="C967" s="243"/>
      <c r="D967" s="45"/>
      <c r="E967" s="45"/>
      <c r="F967" s="45"/>
      <c r="G967" s="45"/>
      <c r="H967" s="45"/>
      <c r="I967" s="265"/>
      <c r="J967" s="265"/>
      <c r="K967" s="45"/>
      <c r="L967" s="243"/>
      <c r="M967" s="243"/>
      <c r="N967" s="265"/>
      <c r="O967" s="265"/>
      <c r="P967" s="265"/>
      <c r="Q967" s="266"/>
      <c r="R967" s="243"/>
    </row>
    <row r="968" spans="3:18" customFormat="1" x14ac:dyDescent="0.25">
      <c r="C968" s="243"/>
      <c r="D968" s="45"/>
      <c r="E968" s="45"/>
      <c r="F968" s="45"/>
      <c r="G968" s="45"/>
      <c r="H968" s="45"/>
      <c r="I968" s="265"/>
      <c r="J968" s="265"/>
      <c r="K968" s="45"/>
      <c r="L968" s="243"/>
      <c r="M968" s="243"/>
      <c r="N968" s="265"/>
      <c r="O968" s="265"/>
      <c r="P968" s="265"/>
      <c r="Q968" s="266"/>
      <c r="R968" s="243"/>
    </row>
    <row r="969" spans="3:18" customFormat="1" x14ac:dyDescent="0.25">
      <c r="C969" s="243"/>
      <c r="D969" s="45"/>
      <c r="E969" s="45"/>
      <c r="F969" s="45"/>
      <c r="G969" s="45"/>
      <c r="H969" s="45"/>
      <c r="I969" s="265"/>
      <c r="J969" s="265"/>
      <c r="K969" s="45"/>
      <c r="L969" s="243"/>
      <c r="M969" s="243"/>
      <c r="N969" s="265"/>
      <c r="O969" s="265"/>
      <c r="P969" s="265"/>
      <c r="Q969" s="266"/>
      <c r="R969" s="243"/>
    </row>
    <row r="970" spans="3:18" customFormat="1" x14ac:dyDescent="0.25">
      <c r="C970" s="243"/>
      <c r="D970" s="45"/>
      <c r="E970" s="45"/>
      <c r="F970" s="45"/>
      <c r="G970" s="45"/>
      <c r="H970" s="45"/>
      <c r="I970" s="265"/>
      <c r="J970" s="265"/>
      <c r="K970" s="45"/>
      <c r="L970" s="243"/>
      <c r="M970" s="243"/>
      <c r="N970" s="265"/>
      <c r="O970" s="265"/>
      <c r="P970" s="265"/>
      <c r="Q970" s="266"/>
      <c r="R970" s="243"/>
    </row>
    <row r="971" spans="3:18" customFormat="1" x14ac:dyDescent="0.25">
      <c r="C971" s="243"/>
      <c r="D971" s="45"/>
      <c r="E971" s="45"/>
      <c r="F971" s="45"/>
      <c r="G971" s="45"/>
      <c r="H971" s="45"/>
      <c r="I971" s="265"/>
      <c r="J971" s="265"/>
      <c r="K971" s="45"/>
      <c r="L971" s="243"/>
      <c r="M971" s="243"/>
      <c r="N971" s="265"/>
      <c r="O971" s="265"/>
      <c r="P971" s="265"/>
      <c r="Q971" s="266"/>
      <c r="R971" s="243"/>
    </row>
    <row r="972" spans="3:18" customFormat="1" x14ac:dyDescent="0.25">
      <c r="C972" s="243"/>
      <c r="D972" s="45"/>
      <c r="E972" s="45"/>
      <c r="F972" s="45"/>
      <c r="G972" s="45"/>
      <c r="H972" s="45"/>
      <c r="I972" s="265"/>
      <c r="J972" s="265"/>
      <c r="K972" s="45"/>
      <c r="L972" s="243"/>
      <c r="M972" s="243"/>
      <c r="N972" s="265"/>
      <c r="O972" s="265"/>
      <c r="P972" s="265"/>
      <c r="Q972" s="266"/>
      <c r="R972" s="243"/>
    </row>
    <row r="973" spans="3:18" customFormat="1" x14ac:dyDescent="0.25">
      <c r="C973" s="243"/>
      <c r="D973" s="45"/>
      <c r="E973" s="45"/>
      <c r="F973" s="45"/>
      <c r="G973" s="45"/>
      <c r="H973" s="45"/>
      <c r="I973" s="265"/>
      <c r="J973" s="265"/>
      <c r="K973" s="45"/>
      <c r="L973" s="243"/>
      <c r="M973" s="243"/>
      <c r="N973" s="265"/>
      <c r="O973" s="265"/>
      <c r="P973" s="265"/>
      <c r="Q973" s="266"/>
      <c r="R973" s="243"/>
    </row>
    <row r="974" spans="3:18" customFormat="1" x14ac:dyDescent="0.25">
      <c r="C974" s="243"/>
      <c r="D974" s="45"/>
      <c r="E974" s="45"/>
      <c r="F974" s="45"/>
      <c r="G974" s="45"/>
      <c r="H974" s="45"/>
      <c r="I974" s="265"/>
      <c r="J974" s="265"/>
      <c r="K974" s="45"/>
      <c r="L974" s="243"/>
      <c r="M974" s="243"/>
      <c r="N974" s="265"/>
      <c r="O974" s="265"/>
      <c r="P974" s="265"/>
      <c r="Q974" s="266"/>
      <c r="R974" s="243"/>
    </row>
    <row r="975" spans="3:18" customFormat="1" x14ac:dyDescent="0.25">
      <c r="C975" s="243"/>
      <c r="D975" s="45"/>
      <c r="E975" s="45"/>
      <c r="F975" s="45"/>
      <c r="G975" s="45"/>
      <c r="H975" s="45"/>
      <c r="I975" s="265"/>
      <c r="J975" s="265"/>
      <c r="K975" s="45"/>
      <c r="L975" s="243"/>
      <c r="M975" s="243"/>
      <c r="N975" s="265"/>
      <c r="O975" s="265"/>
      <c r="P975" s="265"/>
      <c r="Q975" s="266"/>
      <c r="R975" s="243"/>
    </row>
    <row r="976" spans="3:18" customFormat="1" x14ac:dyDescent="0.25">
      <c r="C976" s="243"/>
      <c r="D976" s="45"/>
      <c r="E976" s="45"/>
      <c r="F976" s="45"/>
      <c r="G976" s="45"/>
      <c r="H976" s="45"/>
      <c r="I976" s="265"/>
      <c r="J976" s="265"/>
      <c r="K976" s="45"/>
      <c r="L976" s="243"/>
      <c r="M976" s="243"/>
      <c r="N976" s="265"/>
      <c r="O976" s="265"/>
      <c r="P976" s="265"/>
      <c r="Q976" s="266"/>
      <c r="R976" s="243"/>
    </row>
    <row r="977" spans="3:18" customFormat="1" x14ac:dyDescent="0.25">
      <c r="C977" s="243"/>
      <c r="D977" s="45"/>
      <c r="E977" s="45"/>
      <c r="F977" s="45"/>
      <c r="G977" s="45"/>
      <c r="H977" s="45"/>
      <c r="I977" s="265"/>
      <c r="J977" s="265"/>
      <c r="K977" s="45"/>
      <c r="L977" s="243"/>
      <c r="M977" s="243"/>
      <c r="N977" s="265"/>
      <c r="O977" s="265"/>
      <c r="P977" s="265"/>
      <c r="Q977" s="266"/>
      <c r="R977" s="243"/>
    </row>
    <row r="978" spans="3:18" customFormat="1" x14ac:dyDescent="0.25">
      <c r="C978" s="243"/>
      <c r="D978" s="45"/>
      <c r="E978" s="45"/>
      <c r="F978" s="45"/>
      <c r="G978" s="45"/>
      <c r="H978" s="45"/>
      <c r="I978" s="265"/>
      <c r="J978" s="265"/>
      <c r="K978" s="45"/>
      <c r="L978" s="243"/>
      <c r="M978" s="243"/>
      <c r="N978" s="265"/>
      <c r="O978" s="265"/>
      <c r="P978" s="265"/>
      <c r="Q978" s="266"/>
      <c r="R978" s="243"/>
    </row>
    <row r="979" spans="3:18" customFormat="1" x14ac:dyDescent="0.25">
      <c r="C979" s="243"/>
      <c r="D979" s="45"/>
      <c r="E979" s="45"/>
      <c r="F979" s="45"/>
      <c r="G979" s="45"/>
      <c r="H979" s="45"/>
      <c r="I979" s="265"/>
      <c r="J979" s="265"/>
      <c r="K979" s="45"/>
      <c r="L979" s="243"/>
      <c r="M979" s="243"/>
      <c r="N979" s="265"/>
      <c r="O979" s="265"/>
      <c r="P979" s="265"/>
      <c r="Q979" s="266"/>
      <c r="R979" s="243"/>
    </row>
    <row r="980" spans="3:18" customFormat="1" x14ac:dyDescent="0.25">
      <c r="C980" s="243"/>
      <c r="D980" s="45"/>
      <c r="E980" s="45"/>
      <c r="F980" s="45"/>
      <c r="G980" s="45"/>
      <c r="H980" s="45"/>
      <c r="I980" s="265"/>
      <c r="J980" s="265"/>
      <c r="K980" s="45"/>
      <c r="L980" s="243"/>
      <c r="M980" s="243"/>
      <c r="N980" s="265"/>
      <c r="O980" s="265"/>
      <c r="P980" s="265"/>
      <c r="Q980" s="266"/>
      <c r="R980" s="243"/>
    </row>
    <row r="981" spans="3:18" customFormat="1" x14ac:dyDescent="0.25">
      <c r="C981" s="243"/>
      <c r="D981" s="45"/>
      <c r="E981" s="45"/>
      <c r="F981" s="45"/>
      <c r="G981" s="45"/>
      <c r="H981" s="45"/>
      <c r="I981" s="265"/>
      <c r="J981" s="265"/>
      <c r="K981" s="45"/>
      <c r="L981" s="243"/>
      <c r="M981" s="243"/>
      <c r="N981" s="265"/>
      <c r="O981" s="265"/>
      <c r="P981" s="265"/>
      <c r="Q981" s="266"/>
      <c r="R981" s="243"/>
    </row>
    <row r="982" spans="3:18" customFormat="1" x14ac:dyDescent="0.25">
      <c r="C982" s="243"/>
      <c r="D982" s="45"/>
      <c r="E982" s="45"/>
      <c r="F982" s="45"/>
      <c r="G982" s="45"/>
      <c r="H982" s="45"/>
      <c r="I982" s="265"/>
      <c r="J982" s="265"/>
      <c r="K982" s="45"/>
      <c r="L982" s="243"/>
      <c r="M982" s="243"/>
      <c r="N982" s="265"/>
      <c r="O982" s="265"/>
      <c r="P982" s="265"/>
      <c r="Q982" s="266"/>
      <c r="R982" s="243"/>
    </row>
    <row r="983" spans="3:18" customFormat="1" x14ac:dyDescent="0.25">
      <c r="C983" s="243"/>
      <c r="D983" s="45"/>
      <c r="E983" s="45"/>
      <c r="F983" s="45"/>
      <c r="G983" s="45"/>
      <c r="H983" s="45"/>
      <c r="I983" s="265"/>
      <c r="J983" s="265"/>
      <c r="K983" s="45"/>
      <c r="L983" s="243"/>
      <c r="M983" s="243"/>
      <c r="N983" s="265"/>
      <c r="O983" s="265"/>
      <c r="P983" s="265"/>
      <c r="Q983" s="266"/>
      <c r="R983" s="243"/>
    </row>
    <row r="984" spans="3:18" customFormat="1" x14ac:dyDescent="0.25">
      <c r="C984" s="243"/>
      <c r="D984" s="45"/>
      <c r="E984" s="45"/>
      <c r="F984" s="45"/>
      <c r="G984" s="45"/>
      <c r="H984" s="45"/>
      <c r="I984" s="265"/>
      <c r="J984" s="265"/>
      <c r="K984" s="45"/>
      <c r="L984" s="243"/>
      <c r="M984" s="243"/>
      <c r="N984" s="265"/>
      <c r="O984" s="265"/>
      <c r="P984" s="265"/>
      <c r="Q984" s="266"/>
      <c r="R984" s="243"/>
    </row>
    <row r="985" spans="3:18" customFormat="1" x14ac:dyDescent="0.25">
      <c r="C985" s="243"/>
      <c r="D985" s="45"/>
      <c r="E985" s="45"/>
      <c r="F985" s="45"/>
      <c r="G985" s="45"/>
      <c r="H985" s="45"/>
      <c r="I985" s="265"/>
      <c r="J985" s="265"/>
      <c r="K985" s="45"/>
      <c r="L985" s="243"/>
      <c r="M985" s="243"/>
      <c r="N985" s="265"/>
      <c r="O985" s="265"/>
      <c r="P985" s="265"/>
      <c r="Q985" s="266"/>
      <c r="R985" s="243"/>
    </row>
    <row r="986" spans="3:18" customFormat="1" x14ac:dyDescent="0.25">
      <c r="C986" s="243"/>
      <c r="D986" s="45"/>
      <c r="E986" s="45"/>
      <c r="F986" s="45"/>
      <c r="G986" s="45"/>
      <c r="H986" s="45"/>
      <c r="I986" s="265"/>
      <c r="J986" s="265"/>
      <c r="K986" s="45"/>
      <c r="L986" s="243"/>
      <c r="M986" s="243"/>
      <c r="N986" s="265"/>
      <c r="O986" s="265"/>
      <c r="P986" s="265"/>
      <c r="Q986" s="266"/>
      <c r="R986" s="243"/>
    </row>
    <row r="987" spans="3:18" customFormat="1" x14ac:dyDescent="0.25">
      <c r="C987" s="243"/>
      <c r="D987" s="45"/>
      <c r="E987" s="45"/>
      <c r="F987" s="45"/>
      <c r="G987" s="45"/>
      <c r="H987" s="45"/>
      <c r="I987" s="265"/>
      <c r="J987" s="265"/>
      <c r="K987" s="45"/>
      <c r="L987" s="243"/>
      <c r="M987" s="243"/>
      <c r="N987" s="265"/>
      <c r="O987" s="265"/>
      <c r="P987" s="265"/>
      <c r="Q987" s="266"/>
      <c r="R987" s="243"/>
    </row>
    <row r="988" spans="3:18" customFormat="1" x14ac:dyDescent="0.25">
      <c r="C988" s="243"/>
      <c r="D988" s="45"/>
      <c r="E988" s="45"/>
      <c r="F988" s="45"/>
      <c r="G988" s="45"/>
      <c r="H988" s="45"/>
      <c r="I988" s="265"/>
      <c r="J988" s="265"/>
      <c r="K988" s="45"/>
      <c r="L988" s="243"/>
      <c r="M988" s="243"/>
      <c r="N988" s="265"/>
      <c r="O988" s="265"/>
      <c r="P988" s="265"/>
      <c r="Q988" s="266"/>
      <c r="R988" s="243"/>
    </row>
    <row r="989" spans="3:18" customFormat="1" x14ac:dyDescent="0.25">
      <c r="C989" s="243"/>
      <c r="D989" s="45"/>
      <c r="E989" s="45"/>
      <c r="F989" s="45"/>
      <c r="G989" s="45"/>
      <c r="H989" s="45"/>
      <c r="I989" s="265"/>
      <c r="J989" s="265"/>
      <c r="K989" s="45"/>
      <c r="L989" s="243"/>
      <c r="M989" s="243"/>
      <c r="N989" s="265"/>
      <c r="O989" s="265"/>
      <c r="P989" s="265"/>
      <c r="Q989" s="266"/>
      <c r="R989" s="243"/>
    </row>
    <row r="990" spans="3:18" customFormat="1" x14ac:dyDescent="0.25">
      <c r="C990" s="243"/>
      <c r="D990" s="45"/>
      <c r="E990" s="45"/>
      <c r="F990" s="45"/>
      <c r="G990" s="45"/>
      <c r="H990" s="45"/>
      <c r="I990" s="265"/>
      <c r="J990" s="265"/>
      <c r="K990" s="45"/>
      <c r="L990" s="243"/>
      <c r="M990" s="243"/>
      <c r="N990" s="265"/>
      <c r="O990" s="265"/>
      <c r="P990" s="265"/>
      <c r="Q990" s="266"/>
      <c r="R990" s="243"/>
    </row>
    <row r="991" spans="3:18" customFormat="1" x14ac:dyDescent="0.25">
      <c r="C991" s="243"/>
      <c r="D991" s="45"/>
      <c r="E991" s="45"/>
      <c r="F991" s="45"/>
      <c r="G991" s="45"/>
      <c r="H991" s="45"/>
      <c r="I991" s="265"/>
      <c r="J991" s="265"/>
      <c r="K991" s="45"/>
      <c r="L991" s="243"/>
      <c r="M991" s="243"/>
      <c r="N991" s="265"/>
      <c r="O991" s="265"/>
      <c r="P991" s="265"/>
      <c r="Q991" s="266"/>
      <c r="R991" s="243"/>
    </row>
    <row r="992" spans="3:18" customFormat="1" x14ac:dyDescent="0.25">
      <c r="C992" s="243"/>
      <c r="D992" s="45"/>
      <c r="E992" s="45"/>
      <c r="F992" s="45"/>
      <c r="G992" s="45"/>
      <c r="H992" s="45"/>
      <c r="I992" s="265"/>
      <c r="J992" s="265"/>
      <c r="K992" s="45"/>
      <c r="L992" s="243"/>
      <c r="M992" s="243"/>
      <c r="N992" s="265"/>
      <c r="O992" s="265"/>
      <c r="P992" s="265"/>
      <c r="Q992" s="266"/>
      <c r="R992" s="243"/>
    </row>
    <row r="993" spans="3:18" customFormat="1" x14ac:dyDescent="0.25">
      <c r="C993" s="243"/>
      <c r="D993" s="45"/>
      <c r="E993" s="45"/>
      <c r="F993" s="45"/>
      <c r="G993" s="45"/>
      <c r="H993" s="45"/>
      <c r="I993" s="265"/>
      <c r="J993" s="265"/>
      <c r="K993" s="45"/>
      <c r="L993" s="243"/>
      <c r="M993" s="243"/>
      <c r="N993" s="265"/>
      <c r="O993" s="265"/>
      <c r="P993" s="265"/>
      <c r="Q993" s="266"/>
      <c r="R993" s="243"/>
    </row>
    <row r="994" spans="3:18" customFormat="1" x14ac:dyDescent="0.25">
      <c r="C994" s="243"/>
      <c r="D994" s="45"/>
      <c r="E994" s="45"/>
      <c r="F994" s="45"/>
      <c r="G994" s="45"/>
      <c r="H994" s="45"/>
      <c r="I994" s="265"/>
      <c r="J994" s="265"/>
      <c r="K994" s="45"/>
      <c r="L994" s="243"/>
      <c r="M994" s="243"/>
      <c r="N994" s="265"/>
      <c r="O994" s="265"/>
      <c r="P994" s="265"/>
      <c r="Q994" s="266"/>
      <c r="R994" s="243"/>
    </row>
    <row r="995" spans="3:18" customFormat="1" x14ac:dyDescent="0.25">
      <c r="C995" s="243"/>
      <c r="D995" s="45"/>
      <c r="E995" s="45"/>
      <c r="F995" s="45"/>
      <c r="G995" s="45"/>
      <c r="H995" s="45"/>
      <c r="I995" s="265"/>
      <c r="J995" s="265"/>
      <c r="K995" s="45"/>
      <c r="L995" s="243"/>
      <c r="M995" s="243"/>
      <c r="N995" s="265"/>
      <c r="O995" s="265"/>
      <c r="P995" s="265"/>
      <c r="Q995" s="266"/>
      <c r="R995" s="243"/>
    </row>
    <row r="996" spans="3:18" customFormat="1" x14ac:dyDescent="0.25">
      <c r="C996" s="243"/>
      <c r="D996" s="45"/>
      <c r="E996" s="45"/>
      <c r="F996" s="45"/>
      <c r="G996" s="45"/>
      <c r="H996" s="45"/>
      <c r="I996" s="265"/>
      <c r="J996" s="265"/>
      <c r="K996" s="45"/>
      <c r="L996" s="243"/>
      <c r="M996" s="243"/>
      <c r="N996" s="265"/>
      <c r="O996" s="265"/>
      <c r="P996" s="265"/>
      <c r="Q996" s="266"/>
      <c r="R996" s="243"/>
    </row>
    <row r="997" spans="3:18" customFormat="1" x14ac:dyDescent="0.25">
      <c r="C997" s="243"/>
      <c r="D997" s="45"/>
      <c r="E997" s="45"/>
      <c r="F997" s="45"/>
      <c r="G997" s="45"/>
      <c r="H997" s="45"/>
      <c r="I997" s="265"/>
      <c r="J997" s="265"/>
      <c r="K997" s="45"/>
      <c r="L997" s="243"/>
      <c r="M997" s="243"/>
      <c r="N997" s="265"/>
      <c r="O997" s="265"/>
      <c r="P997" s="265"/>
      <c r="Q997" s="266"/>
      <c r="R997" s="243"/>
    </row>
    <row r="998" spans="3:18" customFormat="1" x14ac:dyDescent="0.25">
      <c r="C998" s="243"/>
      <c r="D998" s="45"/>
      <c r="E998" s="45"/>
      <c r="F998" s="45"/>
      <c r="G998" s="45"/>
      <c r="H998" s="45"/>
      <c r="I998" s="265"/>
      <c r="J998" s="265"/>
      <c r="K998" s="45"/>
      <c r="L998" s="243"/>
      <c r="M998" s="243"/>
      <c r="N998" s="265"/>
      <c r="O998" s="265"/>
      <c r="P998" s="265"/>
      <c r="Q998" s="266"/>
      <c r="R998" s="243"/>
    </row>
    <row r="999" spans="3:18" customFormat="1" x14ac:dyDescent="0.25">
      <c r="C999" s="243"/>
      <c r="D999" s="45"/>
      <c r="E999" s="45"/>
      <c r="F999" s="45"/>
      <c r="G999" s="45"/>
      <c r="H999" s="45"/>
      <c r="I999" s="265"/>
      <c r="J999" s="265"/>
      <c r="K999" s="45"/>
      <c r="L999" s="243"/>
      <c r="M999" s="243"/>
      <c r="N999" s="265"/>
      <c r="O999" s="265"/>
      <c r="P999" s="265"/>
      <c r="Q999" s="266"/>
      <c r="R999" s="243"/>
    </row>
    <row r="1000" spans="3:18" customFormat="1" x14ac:dyDescent="0.25">
      <c r="C1000" s="243"/>
      <c r="D1000" s="45"/>
      <c r="E1000" s="45"/>
      <c r="F1000" s="45"/>
      <c r="G1000" s="45"/>
      <c r="H1000" s="45"/>
      <c r="I1000" s="265"/>
      <c r="J1000" s="265"/>
      <c r="K1000" s="45"/>
      <c r="L1000" s="243"/>
      <c r="M1000" s="243"/>
      <c r="N1000" s="265"/>
      <c r="O1000" s="265"/>
      <c r="P1000" s="265"/>
      <c r="Q1000" s="266"/>
      <c r="R1000" s="243"/>
    </row>
    <row r="1001" spans="3:18" customFormat="1" x14ac:dyDescent="0.25">
      <c r="C1001" s="243"/>
      <c r="D1001" s="45"/>
      <c r="E1001" s="45"/>
      <c r="F1001" s="45"/>
      <c r="G1001" s="45"/>
      <c r="H1001" s="45"/>
      <c r="I1001" s="265"/>
      <c r="J1001" s="265"/>
      <c r="K1001" s="45"/>
      <c r="L1001" s="243"/>
      <c r="M1001" s="243"/>
      <c r="N1001" s="265"/>
      <c r="O1001" s="265"/>
      <c r="P1001" s="265"/>
      <c r="Q1001" s="266"/>
      <c r="R1001" s="243"/>
    </row>
    <row r="1002" spans="3:18" customFormat="1" x14ac:dyDescent="0.25">
      <c r="C1002" s="243"/>
      <c r="D1002" s="45"/>
      <c r="E1002" s="45"/>
      <c r="F1002" s="45"/>
      <c r="G1002" s="45"/>
      <c r="H1002" s="45"/>
      <c r="I1002" s="265"/>
      <c r="J1002" s="265"/>
      <c r="K1002" s="45"/>
      <c r="L1002" s="243"/>
      <c r="M1002" s="243"/>
      <c r="N1002" s="265"/>
      <c r="O1002" s="265"/>
      <c r="P1002" s="265"/>
      <c r="Q1002" s="266"/>
      <c r="R1002" s="243"/>
    </row>
    <row r="1003" spans="3:18" customFormat="1" x14ac:dyDescent="0.25">
      <c r="C1003" s="243"/>
      <c r="D1003" s="45"/>
      <c r="E1003" s="45"/>
      <c r="F1003" s="45"/>
      <c r="G1003" s="45"/>
      <c r="H1003" s="45"/>
      <c r="I1003" s="265"/>
      <c r="J1003" s="265"/>
      <c r="K1003" s="45"/>
      <c r="L1003" s="243"/>
      <c r="M1003" s="243"/>
      <c r="N1003" s="265"/>
      <c r="O1003" s="265"/>
      <c r="P1003" s="265"/>
      <c r="Q1003" s="266"/>
      <c r="R1003" s="243"/>
    </row>
    <row r="1004" spans="3:18" customFormat="1" x14ac:dyDescent="0.25">
      <c r="C1004" s="243"/>
      <c r="D1004" s="45"/>
      <c r="E1004" s="45"/>
      <c r="F1004" s="45"/>
      <c r="G1004" s="45"/>
      <c r="H1004" s="45"/>
      <c r="I1004" s="265"/>
      <c r="J1004" s="265"/>
      <c r="K1004" s="45"/>
      <c r="L1004" s="243"/>
      <c r="M1004" s="243"/>
      <c r="N1004" s="265"/>
      <c r="O1004" s="265"/>
      <c r="P1004" s="265"/>
      <c r="Q1004" s="266"/>
      <c r="R1004" s="243"/>
    </row>
    <row r="1005" spans="3:18" customFormat="1" x14ac:dyDescent="0.25">
      <c r="C1005" s="243"/>
      <c r="D1005" s="45"/>
      <c r="E1005" s="45"/>
      <c r="F1005" s="45"/>
      <c r="G1005" s="45"/>
      <c r="H1005" s="45"/>
      <c r="I1005" s="265"/>
      <c r="J1005" s="265"/>
      <c r="K1005" s="45"/>
      <c r="L1005" s="243"/>
      <c r="M1005" s="243"/>
      <c r="N1005" s="265"/>
      <c r="O1005" s="265"/>
      <c r="P1005" s="265"/>
      <c r="Q1005" s="266"/>
      <c r="R1005" s="243"/>
    </row>
    <row r="1006" spans="3:18" customFormat="1" x14ac:dyDescent="0.25">
      <c r="C1006" s="243"/>
      <c r="D1006" s="45"/>
      <c r="E1006" s="45"/>
      <c r="F1006" s="45"/>
      <c r="G1006" s="45"/>
      <c r="H1006" s="45"/>
      <c r="I1006" s="265"/>
      <c r="J1006" s="265"/>
      <c r="K1006" s="45"/>
      <c r="L1006" s="243"/>
      <c r="M1006" s="243"/>
      <c r="N1006" s="265"/>
      <c r="O1006" s="265"/>
      <c r="P1006" s="265"/>
      <c r="Q1006" s="266"/>
      <c r="R1006" s="243"/>
    </row>
    <row r="1007" spans="3:18" customFormat="1" x14ac:dyDescent="0.25">
      <c r="C1007" s="243"/>
      <c r="D1007" s="45"/>
      <c r="E1007" s="45"/>
      <c r="F1007" s="45"/>
      <c r="G1007" s="45"/>
      <c r="H1007" s="45"/>
      <c r="I1007" s="265"/>
      <c r="J1007" s="265"/>
      <c r="K1007" s="45"/>
      <c r="L1007" s="243"/>
      <c r="M1007" s="243"/>
      <c r="N1007" s="265"/>
      <c r="O1007" s="265"/>
      <c r="P1007" s="265"/>
      <c r="Q1007" s="266"/>
      <c r="R1007" s="243"/>
    </row>
    <row r="1008" spans="3:18" customFormat="1" x14ac:dyDescent="0.25">
      <c r="C1008" s="243"/>
      <c r="D1008" s="45"/>
      <c r="E1008" s="45"/>
      <c r="F1008" s="45"/>
      <c r="G1008" s="45"/>
      <c r="H1008" s="45"/>
      <c r="I1008" s="265"/>
      <c r="J1008" s="265"/>
      <c r="K1008" s="45"/>
      <c r="L1008" s="243"/>
      <c r="M1008" s="243"/>
      <c r="N1008" s="265"/>
      <c r="O1008" s="265"/>
      <c r="P1008" s="265"/>
      <c r="Q1008" s="266"/>
      <c r="R1008" s="243"/>
    </row>
    <row r="1009" spans="3:18" customFormat="1" x14ac:dyDescent="0.25">
      <c r="C1009" s="243"/>
      <c r="D1009" s="45"/>
      <c r="E1009" s="45"/>
      <c r="F1009" s="45"/>
      <c r="G1009" s="45"/>
      <c r="H1009" s="45"/>
      <c r="I1009" s="265"/>
      <c r="J1009" s="265"/>
      <c r="K1009" s="45"/>
      <c r="L1009" s="243"/>
      <c r="M1009" s="243"/>
      <c r="N1009" s="265"/>
      <c r="O1009" s="265"/>
      <c r="P1009" s="265"/>
      <c r="Q1009" s="266"/>
      <c r="R1009" s="243"/>
    </row>
    <row r="1010" spans="3:18" customFormat="1" x14ac:dyDescent="0.25">
      <c r="C1010" s="243"/>
      <c r="D1010" s="45"/>
      <c r="E1010" s="45"/>
      <c r="F1010" s="45"/>
      <c r="G1010" s="45"/>
      <c r="H1010" s="45"/>
      <c r="I1010" s="265"/>
      <c r="J1010" s="265"/>
      <c r="K1010" s="45"/>
      <c r="L1010" s="243"/>
      <c r="M1010" s="243"/>
      <c r="N1010" s="265"/>
      <c r="O1010" s="265"/>
      <c r="P1010" s="265"/>
      <c r="Q1010" s="266"/>
      <c r="R1010" s="243"/>
    </row>
    <row r="1011" spans="3:18" customFormat="1" x14ac:dyDescent="0.25">
      <c r="C1011" s="243"/>
      <c r="D1011" s="45"/>
      <c r="E1011" s="45"/>
      <c r="F1011" s="45"/>
      <c r="G1011" s="45"/>
      <c r="H1011" s="45"/>
      <c r="I1011" s="265"/>
      <c r="J1011" s="265"/>
      <c r="K1011" s="45"/>
      <c r="L1011" s="243"/>
      <c r="M1011" s="243"/>
      <c r="N1011" s="265"/>
      <c r="O1011" s="265"/>
      <c r="P1011" s="265"/>
      <c r="Q1011" s="266"/>
      <c r="R1011" s="243"/>
    </row>
    <row r="1012" spans="3:18" customFormat="1" x14ac:dyDescent="0.25">
      <c r="C1012" s="243"/>
      <c r="D1012" s="45"/>
      <c r="E1012" s="45"/>
      <c r="F1012" s="45"/>
      <c r="G1012" s="45"/>
      <c r="H1012" s="45"/>
      <c r="I1012" s="265"/>
      <c r="J1012" s="265"/>
      <c r="K1012" s="45"/>
      <c r="L1012" s="243"/>
      <c r="M1012" s="243"/>
      <c r="N1012" s="265"/>
      <c r="O1012" s="265"/>
      <c r="P1012" s="265"/>
      <c r="Q1012" s="266"/>
      <c r="R1012" s="243"/>
    </row>
    <row r="1013" spans="3:18" customFormat="1" x14ac:dyDescent="0.25">
      <c r="C1013" s="243"/>
      <c r="D1013" s="45"/>
      <c r="E1013" s="45"/>
      <c r="F1013" s="45"/>
      <c r="G1013" s="45"/>
      <c r="H1013" s="45"/>
      <c r="I1013" s="265"/>
      <c r="J1013" s="265"/>
      <c r="K1013" s="45"/>
      <c r="L1013" s="243"/>
      <c r="M1013" s="243"/>
      <c r="N1013" s="265"/>
      <c r="O1013" s="265"/>
      <c r="P1013" s="265"/>
      <c r="Q1013" s="266"/>
      <c r="R1013" s="243"/>
    </row>
    <row r="1014" spans="3:18" customFormat="1" x14ac:dyDescent="0.25">
      <c r="C1014" s="243"/>
      <c r="D1014" s="45"/>
      <c r="E1014" s="45"/>
      <c r="F1014" s="45"/>
      <c r="G1014" s="45"/>
      <c r="H1014" s="45"/>
      <c r="I1014" s="265"/>
      <c r="J1014" s="265"/>
      <c r="K1014" s="45"/>
      <c r="L1014" s="243"/>
      <c r="M1014" s="243"/>
      <c r="N1014" s="265"/>
      <c r="O1014" s="265"/>
      <c r="P1014" s="265"/>
      <c r="Q1014" s="266"/>
      <c r="R1014" s="243"/>
    </row>
    <row r="1015" spans="3:18" customFormat="1" x14ac:dyDescent="0.25">
      <c r="C1015" s="243"/>
      <c r="D1015" s="45"/>
      <c r="E1015" s="45"/>
      <c r="F1015" s="45"/>
      <c r="G1015" s="45"/>
      <c r="H1015" s="45"/>
      <c r="I1015" s="265"/>
      <c r="J1015" s="265"/>
      <c r="K1015" s="45"/>
      <c r="L1015" s="243"/>
      <c r="M1015" s="243"/>
      <c r="N1015" s="265"/>
      <c r="O1015" s="265"/>
      <c r="P1015" s="265"/>
      <c r="Q1015" s="266"/>
      <c r="R1015" s="243"/>
    </row>
    <row r="1016" spans="3:18" customFormat="1" x14ac:dyDescent="0.25">
      <c r="C1016" s="243"/>
      <c r="D1016" s="45"/>
      <c r="E1016" s="45"/>
      <c r="F1016" s="45"/>
      <c r="G1016" s="45"/>
      <c r="H1016" s="45"/>
      <c r="I1016" s="265"/>
      <c r="J1016" s="265"/>
      <c r="K1016" s="45"/>
      <c r="L1016" s="243"/>
      <c r="M1016" s="243"/>
      <c r="N1016" s="265"/>
      <c r="O1016" s="265"/>
      <c r="P1016" s="265"/>
      <c r="Q1016" s="266"/>
      <c r="R1016" s="243"/>
    </row>
    <row r="1017" spans="3:18" customFormat="1" x14ac:dyDescent="0.25">
      <c r="C1017" s="243"/>
      <c r="D1017" s="45"/>
      <c r="E1017" s="45"/>
      <c r="F1017" s="45"/>
      <c r="G1017" s="45"/>
      <c r="H1017" s="45"/>
      <c r="I1017" s="265"/>
      <c r="J1017" s="265"/>
      <c r="K1017" s="45"/>
      <c r="L1017" s="243"/>
      <c r="M1017" s="243"/>
      <c r="N1017" s="265"/>
      <c r="O1017" s="265"/>
      <c r="P1017" s="265"/>
      <c r="Q1017" s="266"/>
      <c r="R1017" s="243"/>
    </row>
    <row r="1018" spans="3:18" customFormat="1" x14ac:dyDescent="0.25">
      <c r="C1018" s="243"/>
      <c r="D1018" s="45"/>
      <c r="E1018" s="45"/>
      <c r="F1018" s="45"/>
      <c r="G1018" s="45"/>
      <c r="H1018" s="45"/>
      <c r="I1018" s="265"/>
      <c r="J1018" s="265"/>
      <c r="K1018" s="45"/>
      <c r="L1018" s="243"/>
      <c r="M1018" s="243"/>
      <c r="N1018" s="265"/>
      <c r="O1018" s="265"/>
      <c r="P1018" s="265"/>
      <c r="Q1018" s="266"/>
      <c r="R1018" s="243"/>
    </row>
    <row r="1019" spans="3:18" customFormat="1" x14ac:dyDescent="0.25">
      <c r="C1019" s="243"/>
      <c r="D1019" s="45"/>
      <c r="E1019" s="45"/>
      <c r="F1019" s="45"/>
      <c r="G1019" s="45"/>
      <c r="H1019" s="45"/>
      <c r="I1019" s="265"/>
      <c r="J1019" s="265"/>
      <c r="K1019" s="45"/>
      <c r="L1019" s="243"/>
      <c r="M1019" s="243"/>
      <c r="N1019" s="265"/>
      <c r="O1019" s="265"/>
      <c r="P1019" s="265"/>
      <c r="Q1019" s="266"/>
      <c r="R1019" s="243"/>
    </row>
    <row r="1020" spans="3:18" customFormat="1" x14ac:dyDescent="0.25">
      <c r="C1020" s="243"/>
      <c r="D1020" s="45"/>
      <c r="E1020" s="45"/>
      <c r="F1020" s="45"/>
      <c r="G1020" s="45"/>
      <c r="H1020" s="45"/>
      <c r="I1020" s="265"/>
      <c r="J1020" s="265"/>
      <c r="K1020" s="45"/>
      <c r="L1020" s="243"/>
      <c r="M1020" s="243"/>
      <c r="N1020" s="265"/>
      <c r="O1020" s="265"/>
      <c r="P1020" s="265"/>
      <c r="Q1020" s="266"/>
      <c r="R1020" s="243"/>
    </row>
    <row r="1021" spans="3:18" customFormat="1" x14ac:dyDescent="0.25">
      <c r="C1021" s="243"/>
      <c r="D1021" s="45"/>
      <c r="E1021" s="45"/>
      <c r="F1021" s="45"/>
      <c r="G1021" s="45"/>
      <c r="H1021" s="45"/>
      <c r="I1021" s="265"/>
      <c r="J1021" s="265"/>
      <c r="K1021" s="45"/>
      <c r="L1021" s="243"/>
      <c r="M1021" s="243"/>
      <c r="N1021" s="265"/>
      <c r="O1021" s="265"/>
      <c r="P1021" s="265"/>
      <c r="Q1021" s="266"/>
      <c r="R1021" s="243"/>
    </row>
    <row r="1022" spans="3:18" customFormat="1" x14ac:dyDescent="0.25">
      <c r="C1022" s="243"/>
      <c r="D1022" s="45"/>
      <c r="E1022" s="45"/>
      <c r="F1022" s="45"/>
      <c r="G1022" s="45"/>
      <c r="H1022" s="45"/>
      <c r="I1022" s="265"/>
      <c r="J1022" s="265"/>
      <c r="K1022" s="45"/>
      <c r="L1022" s="243"/>
      <c r="M1022" s="243"/>
      <c r="N1022" s="265"/>
      <c r="O1022" s="265"/>
      <c r="P1022" s="265"/>
      <c r="Q1022" s="266"/>
      <c r="R1022" s="243"/>
    </row>
    <row r="1023" spans="3:18" customFormat="1" x14ac:dyDescent="0.25">
      <c r="C1023" s="243"/>
      <c r="D1023" s="45"/>
      <c r="E1023" s="45"/>
      <c r="F1023" s="45"/>
      <c r="G1023" s="45"/>
      <c r="H1023" s="45"/>
      <c r="I1023" s="265"/>
      <c r="J1023" s="265"/>
      <c r="K1023" s="45"/>
      <c r="L1023" s="243"/>
      <c r="M1023" s="243"/>
      <c r="N1023" s="265"/>
      <c r="O1023" s="265"/>
      <c r="P1023" s="265"/>
      <c r="Q1023" s="266"/>
      <c r="R1023" s="243"/>
    </row>
    <row r="1024" spans="3:18" customFormat="1" x14ac:dyDescent="0.25">
      <c r="C1024" s="243"/>
      <c r="D1024" s="45"/>
      <c r="E1024" s="45"/>
      <c r="F1024" s="45"/>
      <c r="G1024" s="45"/>
      <c r="H1024" s="45"/>
      <c r="I1024" s="265"/>
      <c r="J1024" s="265"/>
      <c r="K1024" s="45"/>
      <c r="L1024" s="243"/>
      <c r="M1024" s="243"/>
      <c r="N1024" s="265"/>
      <c r="O1024" s="265"/>
      <c r="P1024" s="265"/>
      <c r="Q1024" s="266"/>
      <c r="R1024" s="243"/>
    </row>
    <row r="1025" spans="3:18" customFormat="1" x14ac:dyDescent="0.25">
      <c r="C1025" s="243"/>
      <c r="D1025" s="45"/>
      <c r="E1025" s="45"/>
      <c r="F1025" s="45"/>
      <c r="G1025" s="45"/>
      <c r="H1025" s="45"/>
      <c r="I1025" s="265"/>
      <c r="J1025" s="265"/>
      <c r="K1025" s="45"/>
      <c r="L1025" s="243"/>
      <c r="M1025" s="243"/>
      <c r="N1025" s="265"/>
      <c r="O1025" s="265"/>
      <c r="P1025" s="265"/>
      <c r="Q1025" s="266"/>
      <c r="R1025" s="243"/>
    </row>
    <row r="1026" spans="3:18" customFormat="1" x14ac:dyDescent="0.25">
      <c r="C1026" s="243"/>
      <c r="D1026" s="45"/>
      <c r="E1026" s="45"/>
      <c r="F1026" s="45"/>
      <c r="G1026" s="45"/>
      <c r="H1026" s="45"/>
      <c r="I1026" s="265"/>
      <c r="J1026" s="265"/>
      <c r="K1026" s="45"/>
      <c r="L1026" s="243"/>
      <c r="M1026" s="243"/>
      <c r="N1026" s="265"/>
      <c r="O1026" s="265"/>
      <c r="P1026" s="265"/>
      <c r="Q1026" s="266"/>
      <c r="R1026" s="243"/>
    </row>
    <row r="1027" spans="3:18" customFormat="1" x14ac:dyDescent="0.25">
      <c r="C1027" s="243"/>
      <c r="D1027" s="45"/>
      <c r="E1027" s="45"/>
      <c r="F1027" s="45"/>
      <c r="G1027" s="45"/>
      <c r="H1027" s="45"/>
      <c r="I1027" s="265"/>
      <c r="J1027" s="265"/>
      <c r="K1027" s="45"/>
      <c r="L1027" s="243"/>
      <c r="M1027" s="243"/>
      <c r="N1027" s="265"/>
      <c r="O1027" s="265"/>
      <c r="P1027" s="265"/>
      <c r="Q1027" s="266"/>
      <c r="R1027" s="243"/>
    </row>
    <row r="1028" spans="3:18" customFormat="1" x14ac:dyDescent="0.25">
      <c r="C1028" s="243"/>
      <c r="D1028" s="45"/>
      <c r="E1028" s="45"/>
      <c r="F1028" s="45"/>
      <c r="G1028" s="45"/>
      <c r="H1028" s="45"/>
      <c r="I1028" s="265"/>
      <c r="J1028" s="265"/>
      <c r="K1028" s="45"/>
      <c r="L1028" s="243"/>
      <c r="M1028" s="243"/>
      <c r="N1028" s="265"/>
      <c r="O1028" s="265"/>
      <c r="P1028" s="265"/>
      <c r="Q1028" s="266"/>
      <c r="R1028" s="243"/>
    </row>
    <row r="1029" spans="3:18" customFormat="1" x14ac:dyDescent="0.25">
      <c r="C1029" s="243"/>
      <c r="D1029" s="45"/>
      <c r="E1029" s="45"/>
      <c r="F1029" s="45"/>
      <c r="G1029" s="45"/>
      <c r="H1029" s="45"/>
      <c r="I1029" s="265"/>
      <c r="J1029" s="265"/>
      <c r="K1029" s="45"/>
      <c r="L1029" s="243"/>
      <c r="M1029" s="243"/>
      <c r="N1029" s="265"/>
      <c r="O1029" s="265"/>
      <c r="P1029" s="265"/>
      <c r="Q1029" s="266"/>
      <c r="R1029" s="243"/>
    </row>
    <row r="1030" spans="3:18" customFormat="1" x14ac:dyDescent="0.25">
      <c r="C1030" s="243"/>
      <c r="D1030" s="45"/>
      <c r="E1030" s="45"/>
      <c r="F1030" s="45"/>
      <c r="G1030" s="45"/>
      <c r="H1030" s="45"/>
      <c r="I1030" s="265"/>
      <c r="J1030" s="265"/>
      <c r="K1030" s="45"/>
      <c r="L1030" s="243"/>
      <c r="M1030" s="243"/>
      <c r="N1030" s="265"/>
      <c r="O1030" s="265"/>
      <c r="P1030" s="265"/>
      <c r="Q1030" s="266"/>
      <c r="R1030" s="243"/>
    </row>
    <row r="1031" spans="3:18" customFormat="1" x14ac:dyDescent="0.25">
      <c r="C1031" s="243"/>
      <c r="D1031" s="45"/>
      <c r="E1031" s="45"/>
      <c r="F1031" s="45"/>
      <c r="G1031" s="45"/>
      <c r="H1031" s="45"/>
      <c r="I1031" s="265"/>
      <c r="J1031" s="265"/>
      <c r="K1031" s="45"/>
      <c r="L1031" s="243"/>
      <c r="M1031" s="243"/>
      <c r="N1031" s="265"/>
      <c r="O1031" s="265"/>
      <c r="P1031" s="265"/>
      <c r="Q1031" s="266"/>
      <c r="R1031" s="243"/>
    </row>
    <row r="1032" spans="3:18" customFormat="1" x14ac:dyDescent="0.25">
      <c r="C1032" s="243"/>
      <c r="D1032" s="45"/>
      <c r="E1032" s="45"/>
      <c r="F1032" s="45"/>
      <c r="G1032" s="45"/>
      <c r="H1032" s="45"/>
      <c r="I1032" s="265"/>
      <c r="J1032" s="265"/>
      <c r="K1032" s="45"/>
      <c r="L1032" s="243"/>
      <c r="M1032" s="243"/>
      <c r="N1032" s="265"/>
      <c r="O1032" s="265"/>
      <c r="P1032" s="265"/>
      <c r="Q1032" s="266"/>
      <c r="R1032" s="243"/>
    </row>
    <row r="1033" spans="3:18" customFormat="1" x14ac:dyDescent="0.25">
      <c r="C1033" s="243"/>
      <c r="D1033" s="45"/>
      <c r="E1033" s="45"/>
      <c r="F1033" s="45"/>
      <c r="G1033" s="45"/>
      <c r="H1033" s="45"/>
      <c r="I1033" s="265"/>
      <c r="J1033" s="265"/>
      <c r="K1033" s="45"/>
      <c r="L1033" s="243"/>
      <c r="M1033" s="243"/>
      <c r="N1033" s="265"/>
      <c r="O1033" s="265"/>
      <c r="P1033" s="265"/>
      <c r="Q1033" s="266"/>
      <c r="R1033" s="243"/>
    </row>
    <row r="1034" spans="3:18" customFormat="1" x14ac:dyDescent="0.25">
      <c r="C1034" s="243"/>
      <c r="D1034" s="45"/>
      <c r="E1034" s="45"/>
      <c r="F1034" s="45"/>
      <c r="G1034" s="45"/>
      <c r="H1034" s="45"/>
      <c r="I1034" s="265"/>
      <c r="J1034" s="265"/>
      <c r="K1034" s="45"/>
      <c r="L1034" s="243"/>
      <c r="M1034" s="243"/>
      <c r="N1034" s="265"/>
      <c r="O1034" s="265"/>
      <c r="P1034" s="265"/>
      <c r="Q1034" s="266"/>
      <c r="R1034" s="243"/>
    </row>
    <row r="1035" spans="3:18" customFormat="1" x14ac:dyDescent="0.25">
      <c r="C1035" s="243"/>
      <c r="D1035" s="45"/>
      <c r="E1035" s="45"/>
      <c r="F1035" s="45"/>
      <c r="G1035" s="45"/>
      <c r="H1035" s="45"/>
      <c r="I1035" s="265"/>
      <c r="J1035" s="265"/>
      <c r="K1035" s="45"/>
      <c r="L1035" s="243"/>
      <c r="M1035" s="243"/>
      <c r="N1035" s="265"/>
      <c r="O1035" s="265"/>
      <c r="P1035" s="265"/>
      <c r="Q1035" s="266"/>
      <c r="R1035" s="243"/>
    </row>
    <row r="1036" spans="3:18" customFormat="1" x14ac:dyDescent="0.25">
      <c r="C1036" s="243"/>
      <c r="D1036" s="45"/>
      <c r="E1036" s="45"/>
      <c r="F1036" s="45"/>
      <c r="G1036" s="45"/>
      <c r="H1036" s="45"/>
      <c r="I1036" s="265"/>
      <c r="J1036" s="265"/>
      <c r="K1036" s="45"/>
      <c r="L1036" s="243"/>
      <c r="M1036" s="243"/>
      <c r="N1036" s="265"/>
      <c r="O1036" s="265"/>
      <c r="P1036" s="265"/>
      <c r="Q1036" s="266"/>
      <c r="R1036" s="243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J7"/>
  <sheetViews>
    <sheetView workbookViewId="0">
      <selection activeCell="B5" sqref="B5"/>
    </sheetView>
  </sheetViews>
  <sheetFormatPr baseColWidth="10" defaultColWidth="9.140625" defaultRowHeight="15" x14ac:dyDescent="0.25"/>
  <cols>
    <col min="1" max="1" width="12.7109375" customWidth="1"/>
    <col min="2" max="2" width="18.28515625" customWidth="1"/>
    <col min="3" max="3" width="12.7109375" customWidth="1"/>
    <col min="4" max="4" width="24.7109375" customWidth="1"/>
    <col min="5" max="10" width="18.140625" customWidth="1"/>
  </cols>
  <sheetData>
    <row r="1" spans="1:10" s="397" customFormat="1" ht="24" thickBot="1" x14ac:dyDescent="0.4">
      <c r="A1" s="396" t="s">
        <v>323</v>
      </c>
    </row>
    <row r="2" spans="1:10" x14ac:dyDescent="0.25">
      <c r="B2" s="276" t="s">
        <v>322</v>
      </c>
      <c r="C2" s="276" t="s">
        <v>321</v>
      </c>
      <c r="D2" s="276" t="s">
        <v>320</v>
      </c>
      <c r="E2" s="276" t="s">
        <v>319</v>
      </c>
      <c r="F2" s="276" t="s">
        <v>318</v>
      </c>
      <c r="G2" s="276" t="s">
        <v>317</v>
      </c>
      <c r="H2" s="276" t="s">
        <v>316</v>
      </c>
      <c r="I2" s="276" t="s">
        <v>315</v>
      </c>
      <c r="J2" s="276" t="s">
        <v>314</v>
      </c>
    </row>
    <row r="3" spans="1:10" ht="15.75" x14ac:dyDescent="0.25">
      <c r="A3" s="275" t="s">
        <v>313</v>
      </c>
      <c r="B3" s="274" t="s">
        <v>364</v>
      </c>
      <c r="C3" s="273">
        <v>1</v>
      </c>
      <c r="D3" s="325" t="str">
        <f>B3</f>
        <v>Telekom</v>
      </c>
      <c r="E3" s="319">
        <v>226</v>
      </c>
      <c r="F3" s="319">
        <v>0</v>
      </c>
      <c r="G3" s="319">
        <v>116</v>
      </c>
      <c r="H3" s="272">
        <v>255</v>
      </c>
      <c r="I3" s="272">
        <v>255</v>
      </c>
      <c r="J3" s="272">
        <v>255</v>
      </c>
    </row>
    <row r="4" spans="1:10" ht="15.75" x14ac:dyDescent="0.25">
      <c r="A4" s="275" t="s">
        <v>312</v>
      </c>
      <c r="B4" s="274" t="s">
        <v>355</v>
      </c>
      <c r="C4" s="273">
        <v>1</v>
      </c>
      <c r="D4" s="320" t="str">
        <f>B4</f>
        <v>Vodafone</v>
      </c>
      <c r="E4" s="319">
        <v>218</v>
      </c>
      <c r="F4" s="319">
        <v>41</v>
      </c>
      <c r="G4" s="319">
        <v>28</v>
      </c>
      <c r="H4" s="272">
        <v>255</v>
      </c>
      <c r="I4" s="272">
        <v>255</v>
      </c>
      <c r="J4" s="272">
        <v>255</v>
      </c>
    </row>
    <row r="5" spans="1:10" ht="15.75" x14ac:dyDescent="0.25">
      <c r="A5" s="275" t="s">
        <v>311</v>
      </c>
      <c r="B5" s="274" t="s">
        <v>365</v>
      </c>
      <c r="C5" s="273">
        <v>1</v>
      </c>
      <c r="D5" s="326" t="str">
        <f>B5</f>
        <v>Telefonica</v>
      </c>
      <c r="E5" s="272">
        <v>1</v>
      </c>
      <c r="F5" s="272">
        <v>66</v>
      </c>
      <c r="G5" s="272">
        <v>104</v>
      </c>
      <c r="H5" s="272">
        <v>255</v>
      </c>
      <c r="I5" s="272">
        <v>255</v>
      </c>
      <c r="J5" s="272">
        <v>255</v>
      </c>
    </row>
    <row r="6" spans="1:10" ht="15.75" x14ac:dyDescent="0.25">
      <c r="A6" s="275" t="s">
        <v>79</v>
      </c>
      <c r="B6" s="274" t="str">
        <f>A6</f>
        <v>Operator 4</v>
      </c>
      <c r="C6" s="273">
        <v>0</v>
      </c>
      <c r="D6" s="301" t="str">
        <f>B6</f>
        <v>Operator 4</v>
      </c>
      <c r="E6" s="272">
        <v>54</v>
      </c>
      <c r="F6" s="272">
        <v>96</v>
      </c>
      <c r="G6" s="272">
        <v>146</v>
      </c>
      <c r="H6" s="272">
        <v>255</v>
      </c>
      <c r="I6" s="272">
        <v>255</v>
      </c>
      <c r="J6" s="272">
        <v>255</v>
      </c>
    </row>
    <row r="7" spans="1:10" ht="15.75" x14ac:dyDescent="0.25">
      <c r="A7" s="275" t="s">
        <v>78</v>
      </c>
      <c r="B7" s="274" t="str">
        <f>A7</f>
        <v>Operator 5</v>
      </c>
      <c r="C7" s="273">
        <v>0</v>
      </c>
      <c r="D7" s="301" t="str">
        <f>B7</f>
        <v>Operator 5</v>
      </c>
      <c r="E7" s="272">
        <v>54</v>
      </c>
      <c r="F7" s="272">
        <v>96</v>
      </c>
      <c r="G7" s="272">
        <v>146</v>
      </c>
      <c r="H7" s="272">
        <v>255</v>
      </c>
      <c r="I7" s="272">
        <v>255</v>
      </c>
      <c r="J7" s="272">
        <v>255</v>
      </c>
    </row>
  </sheetData>
  <mergeCells count="1">
    <mergeCell ref="A1:XFD1"/>
  </mergeCells>
  <conditionalFormatting sqref="C3:C7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reviewColors">
                <anchor moveWithCells="1" sizeWithCells="1">
                  <from>
                    <xdr:col>0</xdr:col>
                    <xdr:colOff>114300</xdr:colOff>
                    <xdr:row>7</xdr:row>
                    <xdr:rowOff>95250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pplyColors">
                <anchor moveWithCells="1" sizeWithCells="1">
                  <from>
                    <xdr:col>4</xdr:col>
                    <xdr:colOff>38100</xdr:colOff>
                    <xdr:row>7</xdr:row>
                    <xdr:rowOff>104775</xdr:rowOff>
                  </from>
                  <to>
                    <xdr:col>7</xdr:col>
                    <xdr:colOff>857250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akeAllVisible">
                <anchor moveWithCells="1" sizeWithCells="1">
                  <from>
                    <xdr:col>0</xdr:col>
                    <xdr:colOff>123825</xdr:colOff>
                    <xdr:row>10</xdr:row>
                    <xdr:rowOff>47625</xdr:rowOff>
                  </from>
                  <to>
                    <xdr:col>7</xdr:col>
                    <xdr:colOff>857250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learVendorOperator1">
                <anchor moveWithCells="1" sizeWithCells="1">
                  <from>
                    <xdr:col>10</xdr:col>
                    <xdr:colOff>219075</xdr:colOff>
                    <xdr:row>2</xdr:row>
                    <xdr:rowOff>0</xdr:rowOff>
                  </from>
                  <to>
                    <xdr:col>12</xdr:col>
                    <xdr:colOff>600075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clearVendorOperator2">
                <anchor moveWithCells="1" sizeWithCells="1">
                  <from>
                    <xdr:col>10</xdr:col>
                    <xdr:colOff>219075</xdr:colOff>
                    <xdr:row>3</xdr:row>
                    <xdr:rowOff>19050</xdr:rowOff>
                  </from>
                  <to>
                    <xdr:col>12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clearVendorOperator3">
                <anchor moveWithCells="1" sizeWithCells="1">
                  <from>
                    <xdr:col>10</xdr:col>
                    <xdr:colOff>219075</xdr:colOff>
                    <xdr:row>4</xdr:row>
                    <xdr:rowOff>38100</xdr:rowOff>
                  </from>
                  <to>
                    <xdr:col>12</xdr:col>
                    <xdr:colOff>600075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clearVendorOperator4">
                <anchor moveWithCells="1" sizeWithCells="1">
                  <from>
                    <xdr:col>10</xdr:col>
                    <xdr:colOff>219075</xdr:colOff>
                    <xdr:row>5</xdr:row>
                    <xdr:rowOff>57150</xdr:rowOff>
                  </from>
                  <to>
                    <xdr:col>12</xdr:col>
                    <xdr:colOff>600075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clearVendorOperator5">
                <anchor moveWithCells="1" sizeWithCells="1">
                  <from>
                    <xdr:col>10</xdr:col>
                    <xdr:colOff>228600</xdr:colOff>
                    <xdr:row>6</xdr:row>
                    <xdr:rowOff>66675</xdr:rowOff>
                  </from>
                  <to>
                    <xdr:col>13</xdr:col>
                    <xdr:colOff>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68</vt:i4>
      </vt:variant>
    </vt:vector>
  </HeadingPairs>
  <TitlesOfParts>
    <vt:vector size="78" baseType="lpstr">
      <vt:lpstr>MASTER</vt:lpstr>
      <vt:lpstr>KPI Definition</vt:lpstr>
      <vt:lpstr>RANKING</vt:lpstr>
      <vt:lpstr>Operator1</vt:lpstr>
      <vt:lpstr>Operator2</vt:lpstr>
      <vt:lpstr>Operator3</vt:lpstr>
      <vt:lpstr>Operator4</vt:lpstr>
      <vt:lpstr>Operator5</vt:lpstr>
      <vt:lpstr>Lists</vt:lpstr>
      <vt:lpstr>SetupEnviroment</vt:lpstr>
      <vt:lpstr>lists1</vt:lpstr>
      <vt:lpstr>lists10</vt:lpstr>
      <vt:lpstr>lists11</vt:lpstr>
      <vt:lpstr>lists12</vt:lpstr>
      <vt:lpstr>lists13</vt:lpstr>
      <vt:lpstr>lists14</vt:lpstr>
      <vt:lpstr>lists15</vt:lpstr>
      <vt:lpstr>lists16</vt:lpstr>
      <vt:lpstr>lists17</vt:lpstr>
      <vt:lpstr>lists18</vt:lpstr>
      <vt:lpstr>lists19</vt:lpstr>
      <vt:lpstr>lists2</vt:lpstr>
      <vt:lpstr>lists20</vt:lpstr>
      <vt:lpstr>lists21</vt:lpstr>
      <vt:lpstr>lists22</vt:lpstr>
      <vt:lpstr>lists23</vt:lpstr>
      <vt:lpstr>lists24</vt:lpstr>
      <vt:lpstr>lists25</vt:lpstr>
      <vt:lpstr>lists26</vt:lpstr>
      <vt:lpstr>lists27</vt:lpstr>
      <vt:lpstr>lists28</vt:lpstr>
      <vt:lpstr>lists3</vt:lpstr>
      <vt:lpstr>lists4</vt:lpstr>
      <vt:lpstr>lists5</vt:lpstr>
      <vt:lpstr>lists6</vt:lpstr>
      <vt:lpstr>lists7</vt:lpstr>
      <vt:lpstr>lists8</vt:lpstr>
      <vt:lpstr>lists9</vt:lpstr>
      <vt:lpstr>O1L1LQ</vt:lpstr>
      <vt:lpstr>O1L2LQ</vt:lpstr>
      <vt:lpstr>O1LQ</vt:lpstr>
      <vt:lpstr>O1ST</vt:lpstr>
      <vt:lpstr>O2L1LQ</vt:lpstr>
      <vt:lpstr>O2L2LQ</vt:lpstr>
      <vt:lpstr>O2LQ</vt:lpstr>
      <vt:lpstr>O2ST</vt:lpstr>
      <vt:lpstr>O3L1LQ</vt:lpstr>
      <vt:lpstr>O3L2LQ</vt:lpstr>
      <vt:lpstr>O3LQ</vt:lpstr>
      <vt:lpstr>O3ST</vt:lpstr>
      <vt:lpstr>O4L1LQ</vt:lpstr>
      <vt:lpstr>O4L2LQ</vt:lpstr>
      <vt:lpstr>O4LQ</vt:lpstr>
      <vt:lpstr>O4ST</vt:lpstr>
      <vt:lpstr>O5L1LQ</vt:lpstr>
      <vt:lpstr>O5L2LQ</vt:lpstr>
      <vt:lpstr>O5LQ</vt:lpstr>
      <vt:lpstr>O5ST</vt:lpstr>
      <vt:lpstr>sO1L1LQ</vt:lpstr>
      <vt:lpstr>sO1L2LQ</vt:lpstr>
      <vt:lpstr>sO1LQ</vt:lpstr>
      <vt:lpstr>sO1ST</vt:lpstr>
      <vt:lpstr>sO2L1LQ</vt:lpstr>
      <vt:lpstr>sO2L2LQ</vt:lpstr>
      <vt:lpstr>sO2LQ</vt:lpstr>
      <vt:lpstr>sO2ST</vt:lpstr>
      <vt:lpstr>sO3L1LQ</vt:lpstr>
      <vt:lpstr>sO3L2LQ</vt:lpstr>
      <vt:lpstr>sO3LQ</vt:lpstr>
      <vt:lpstr>sO3ST</vt:lpstr>
      <vt:lpstr>sO4L1LQ</vt:lpstr>
      <vt:lpstr>sO4L2LQ</vt:lpstr>
      <vt:lpstr>sO4LQ</vt:lpstr>
      <vt:lpstr>sO4ST</vt:lpstr>
      <vt:lpstr>sO5L1LQ</vt:lpstr>
      <vt:lpstr>sO5L2LQ</vt:lpstr>
      <vt:lpstr>sO5LQ</vt:lpstr>
      <vt:lpstr>sO5ST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Tomislav Miksa</dc:creator>
  <cp:lastModifiedBy>Nedzad Cohodarevic</cp:lastModifiedBy>
  <dcterms:created xsi:type="dcterms:W3CDTF">2018-02-22T09:13:09Z</dcterms:created>
  <dcterms:modified xsi:type="dcterms:W3CDTF">2019-05-14T13:19:30Z</dcterms:modified>
</cp:coreProperties>
</file>